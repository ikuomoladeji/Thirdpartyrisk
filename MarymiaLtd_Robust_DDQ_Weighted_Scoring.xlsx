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Weighted Scoring Model" sheetId="3" state="visible" r:id="rId3"/>
    <sheet xmlns:r="http://schemas.openxmlformats.org/officeDocument/2006/relationships" name="Vendor Summary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E6E6E6"/>
        <bgColor rgb="00E6E6E6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  <col width="30" customWidth="1" min="4" max="4"/>
  </cols>
  <sheetData>
    <row r="1">
      <c r="A1" s="1" t="inlineStr">
        <is>
          <t>Marymia Ltd – Vendor Security Due Diligence &amp; Weighted Risk Scoring Framework</t>
        </is>
      </c>
    </row>
    <row r="3">
      <c r="A3" t="inlineStr">
        <is>
          <t>Prepared by</t>
        </is>
      </c>
      <c r="B3" t="inlineStr">
        <is>
          <t>Ikuomola Adedeji – Third-Party Risk Analyst, Marymia Ltd</t>
        </is>
      </c>
    </row>
    <row r="4">
      <c r="A4" t="inlineStr">
        <is>
          <t>Reviewed by</t>
        </is>
      </c>
      <c r="B4" t="inlineStr">
        <is>
          <t>Lara James – Compliance Manager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Issue Date</t>
        </is>
      </c>
      <c r="B6" t="inlineStr">
        <is>
          <t>10 July 2024</t>
        </is>
      </c>
    </row>
    <row r="7">
      <c r="A7" t="inlineStr">
        <is>
          <t>Next Review Date</t>
        </is>
      </c>
      <c r="B7" t="inlineStr">
        <is>
          <t>10 July 2025</t>
        </is>
      </c>
    </row>
    <row r="8">
      <c r="A8" t="inlineStr">
        <is>
          <t>Scope</t>
        </is>
      </c>
      <c r="B8" t="inlineStr">
        <is>
          <t>This framework is used to assess the security, privacy, resilience, and compliance posture of third-party vendors providing services to Marymia Ltd.</t>
        </is>
      </c>
    </row>
    <row r="10">
      <c r="A10" s="2" t="inlineStr">
        <is>
          <t>Version Control</t>
        </is>
      </c>
    </row>
    <row r="11">
      <c r="A11" s="3" t="inlineStr">
        <is>
          <t>Version</t>
        </is>
      </c>
      <c r="B11" s="3" t="inlineStr">
        <is>
          <t>Date</t>
        </is>
      </c>
      <c r="C11" s="3" t="inlineStr">
        <is>
          <t>Change Description</t>
        </is>
      </c>
      <c r="D11" s="3" t="inlineStr">
        <is>
          <t>Author</t>
        </is>
      </c>
      <c r="E11" s="3" t="inlineStr">
        <is>
          <t>Reviewer</t>
        </is>
      </c>
    </row>
    <row r="12">
      <c r="A12" t="inlineStr">
        <is>
          <t>1.0</t>
        </is>
      </c>
      <c r="B12" t="inlineStr">
        <is>
          <t>10 Jul 2024</t>
        </is>
      </c>
      <c r="C12" t="inlineStr">
        <is>
          <t>Initial Issue – Framework Rollout</t>
        </is>
      </c>
      <c r="D12" t="inlineStr">
        <is>
          <t>I. Adedeji</t>
        </is>
      </c>
      <c r="E12" t="inlineStr">
        <is>
          <t>L. James</t>
        </is>
      </c>
    </row>
    <row r="13">
      <c r="A13" t="inlineStr">
        <is>
          <t>1.1</t>
        </is>
      </c>
      <c r="B13" t="inlineStr"/>
      <c r="C13" t="inlineStr">
        <is>
          <t>Annual Update / Vendor Review</t>
        </is>
      </c>
      <c r="D13" t="inlineStr"/>
      <c r="E13" t="inlineStr"/>
    </row>
    <row r="16">
      <c r="A16" s="2" t="inlineStr">
        <is>
          <t>Scoring Scale (Industry Standard)</t>
        </is>
      </c>
    </row>
    <row r="17">
      <c r="A17" s="4" t="inlineStr">
        <is>
          <t>Score</t>
        </is>
      </c>
      <c r="B17" s="4" t="inlineStr">
        <is>
          <t>Definition</t>
        </is>
      </c>
    </row>
    <row r="18">
      <c r="A18" t="inlineStr">
        <is>
          <t>5</t>
        </is>
      </c>
      <c r="B18" t="inlineStr">
        <is>
          <t>Fully implemented, monitored, independently certified (ISO27001/SOC2). Minimal residual risk.</t>
        </is>
      </c>
    </row>
    <row r="19">
      <c r="A19" t="inlineStr">
        <is>
          <t>4</t>
        </is>
      </c>
      <c r="B19" t="inlineStr">
        <is>
          <t>Implemented and monitored. Evidence available. Low residual risk.</t>
        </is>
      </c>
    </row>
    <row r="20">
      <c r="A20" t="inlineStr">
        <is>
          <t>3</t>
        </is>
      </c>
      <c r="B20" t="inlineStr">
        <is>
          <t>Partially implemented / gaps documented. Moderate residual risk.</t>
        </is>
      </c>
    </row>
    <row r="21">
      <c r="A21" t="inlineStr">
        <is>
          <t>2</t>
        </is>
      </c>
      <c r="B21" t="inlineStr">
        <is>
          <t>Ad-hoc / planned but not enforced. High residual risk.</t>
        </is>
      </c>
    </row>
    <row r="22">
      <c r="A22" t="inlineStr">
        <is>
          <t>1</t>
        </is>
      </c>
      <c r="B22" t="inlineStr">
        <is>
          <t>Not implemented. Critical risk.</t>
        </is>
      </c>
    </row>
    <row r="23">
      <c r="A23" t="inlineStr">
        <is>
          <t>0</t>
        </is>
      </c>
      <c r="B23" t="inlineStr">
        <is>
          <t>Not applicable to this service.</t>
        </is>
      </c>
    </row>
    <row r="26">
      <c r="A26" s="2" t="inlineStr">
        <is>
          <t>Audit Evidence References</t>
        </is>
      </c>
    </row>
    <row r="27">
      <c r="A27" s="5" t="inlineStr">
        <is>
          <t>Evidence Type</t>
        </is>
      </c>
      <c r="B27" s="5" t="inlineStr">
        <is>
          <t>Storage Location</t>
        </is>
      </c>
      <c r="C27" s="5" t="inlineStr">
        <is>
          <t>Retention Period</t>
        </is>
      </c>
      <c r="D27" s="5" t="inlineStr">
        <is>
          <t>Owner</t>
        </is>
      </c>
    </row>
    <row r="28">
      <c r="A28" t="inlineStr">
        <is>
          <t>Signed Vendor Contracts</t>
        </is>
      </c>
      <c r="B28" t="inlineStr">
        <is>
          <t>SharePoint / Compliance / Vendors / Contracts /</t>
        </is>
      </c>
      <c r="C28" t="inlineStr">
        <is>
          <t>7 years</t>
        </is>
      </c>
      <c r="D28" t="inlineStr">
        <is>
          <t>Procurement Manager</t>
        </is>
      </c>
    </row>
    <row r="29">
      <c r="A29" t="inlineStr">
        <is>
          <t>Due Diligence Responses</t>
        </is>
      </c>
      <c r="B29" t="inlineStr">
        <is>
          <t>SharePoint / Compliance / Vendors / DDQ2024 /</t>
        </is>
      </c>
      <c r="C29" t="inlineStr">
        <is>
          <t>3 years</t>
        </is>
      </c>
      <c r="D29" t="inlineStr">
        <is>
          <t>TPRM Analyst</t>
        </is>
      </c>
    </row>
    <row r="30">
      <c r="A30" t="inlineStr">
        <is>
          <t>Assessment Reports</t>
        </is>
      </c>
      <c r="B30" t="inlineStr">
        <is>
          <t>SharePoint / Compliance / Vendors / RiskReports /</t>
        </is>
      </c>
      <c r="C30" t="inlineStr">
        <is>
          <t>3 years</t>
        </is>
      </c>
      <c r="D30" t="inlineStr">
        <is>
          <t>Risk Team Lead</t>
        </is>
      </c>
    </row>
    <row r="31">
      <c r="A31" t="inlineStr">
        <is>
          <t>Meeting Minutes / Approvals</t>
        </is>
      </c>
      <c r="B31" t="inlineStr">
        <is>
          <t>Teams / RiskCommittee / TPRMMeetings /</t>
        </is>
      </c>
      <c r="C31" t="inlineStr">
        <is>
          <t>3 years</t>
        </is>
      </c>
      <c r="D31" t="inlineStr">
        <is>
          <t>Head of Risk</t>
        </is>
      </c>
    </row>
    <row r="32">
      <c r="A32" t="inlineStr">
        <is>
          <t>Remediation Trackers</t>
        </is>
      </c>
      <c r="B32" t="inlineStr">
        <is>
          <t>SharePoint / Compliance / Vendors / RemediationPlans /</t>
        </is>
      </c>
      <c r="C32" t="inlineStr">
        <is>
          <t>Until closure</t>
        </is>
      </c>
      <c r="D32" t="inlineStr">
        <is>
          <t>TPRM Analyst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28" customWidth="1" min="3" max="3"/>
    <col width="34" customWidth="1" min="4" max="4"/>
    <col width="34" customWidth="1" min="5" max="5"/>
    <col width="14" customWidth="1" min="6" max="6"/>
  </cols>
  <sheetData>
    <row r="1">
      <c r="A1" s="6" t="inlineStr">
        <is>
          <t>Domain</t>
        </is>
      </c>
      <c r="B1" s="6" t="inlineStr">
        <is>
          <t>Question</t>
        </is>
      </c>
      <c r="C1" s="6" t="inlineStr">
        <is>
          <t>Vendor Response (Y/N/Text)</t>
        </is>
      </c>
      <c r="D1" s="6" t="inlineStr">
        <is>
          <t>Evidence Provided</t>
        </is>
      </c>
      <c r="E1" s="6" t="inlineStr">
        <is>
          <t>Reviewer Notes</t>
        </is>
      </c>
      <c r="F1" s="6" t="inlineStr">
        <is>
          <t>Score (0–5)</t>
        </is>
      </c>
    </row>
    <row r="2">
      <c r="A2" t="inlineStr">
        <is>
          <t>Governance &amp; Management</t>
        </is>
      </c>
      <c r="B2" t="inlineStr">
        <is>
          <t>Do you have a documented Information Security Policy approved by senior management?</t>
        </is>
      </c>
      <c r="C2" t="inlineStr"/>
      <c r="D2" t="inlineStr"/>
      <c r="E2" t="inlineStr"/>
      <c r="F2" t="inlineStr"/>
    </row>
    <row r="3">
      <c r="A3" t="inlineStr">
        <is>
          <t>Governance &amp; Management</t>
        </is>
      </c>
      <c r="B3" t="inlineStr">
        <is>
          <t>Is there an appointed CISO or Security Officer?</t>
        </is>
      </c>
      <c r="C3" t="inlineStr"/>
      <c r="D3" t="inlineStr"/>
      <c r="E3" t="inlineStr"/>
      <c r="F3" t="inlineStr"/>
    </row>
    <row r="4">
      <c r="A4" t="inlineStr">
        <is>
          <t>Governance &amp; Management</t>
        </is>
      </c>
      <c r="B4" t="inlineStr">
        <is>
          <t>Is information security risk reviewed at least annually by leadership?</t>
        </is>
      </c>
      <c r="C4" t="inlineStr"/>
      <c r="D4" t="inlineStr"/>
      <c r="E4" t="inlineStr"/>
      <c r="F4" t="inlineStr"/>
    </row>
    <row r="5">
      <c r="A5" t="inlineStr">
        <is>
          <t>Governance &amp; Management</t>
        </is>
      </c>
      <c r="B5" t="inlineStr">
        <is>
          <t>Do you maintain an enterprise risk register that includes third-party risk?</t>
        </is>
      </c>
      <c r="C5" t="inlineStr"/>
      <c r="D5" t="inlineStr"/>
      <c r="E5" t="inlineStr"/>
      <c r="F5" t="inlineStr"/>
    </row>
    <row r="6">
      <c r="A6" t="inlineStr">
        <is>
          <t>Governance &amp; Management</t>
        </is>
      </c>
      <c r="B6" t="inlineStr">
        <is>
          <t>Do you have a formal change control / CAB process?</t>
        </is>
      </c>
      <c r="C6" t="inlineStr"/>
      <c r="D6" t="inlineStr"/>
      <c r="E6" t="inlineStr"/>
      <c r="F6" t="inlineStr"/>
    </row>
    <row r="7">
      <c r="A7" t="inlineStr">
        <is>
          <t>Governance &amp; Management</t>
        </is>
      </c>
      <c r="B7" t="inlineStr">
        <is>
          <t>Do you conduct internal security audits or risk assessments?</t>
        </is>
      </c>
      <c r="C7" t="inlineStr"/>
      <c r="D7" t="inlineStr"/>
      <c r="E7" t="inlineStr"/>
      <c r="F7" t="inlineStr"/>
    </row>
    <row r="8">
      <c r="A8" t="inlineStr">
        <is>
          <t>Governance &amp; Management</t>
        </is>
      </c>
      <c r="B8" t="inlineStr">
        <is>
          <t>Is there defined ownership for security controls?</t>
        </is>
      </c>
      <c r="C8" t="inlineStr"/>
      <c r="D8" t="inlineStr"/>
      <c r="E8" t="inlineStr"/>
      <c r="F8" t="inlineStr"/>
    </row>
    <row r="9">
      <c r="A9" t="inlineStr">
        <is>
          <t>Governance &amp; Management</t>
        </is>
      </c>
      <c r="B9" t="inlineStr">
        <is>
          <t>Do you have a formal data classification policy?</t>
        </is>
      </c>
      <c r="C9" t="inlineStr"/>
      <c r="D9" t="inlineStr"/>
      <c r="E9" t="inlineStr"/>
      <c r="F9" t="inlineStr"/>
    </row>
    <row r="10">
      <c r="A10" t="inlineStr">
        <is>
          <t>Governance &amp; Management</t>
        </is>
      </c>
      <c r="B10" t="inlineStr">
        <is>
          <t>Is there a defined Acceptable Use Policy for staff?</t>
        </is>
      </c>
      <c r="C10" t="inlineStr"/>
      <c r="D10" t="inlineStr"/>
      <c r="E10" t="inlineStr"/>
      <c r="F10" t="inlineStr"/>
    </row>
    <row r="11">
      <c r="A11" t="inlineStr">
        <is>
          <t>Governance &amp; Management</t>
        </is>
      </c>
      <c r="B11" t="inlineStr">
        <is>
          <t>Do you require employees to sign confidentiality / NDA agreements?</t>
        </is>
      </c>
      <c r="C11" t="inlineStr"/>
      <c r="D11" t="inlineStr"/>
      <c r="E11" t="inlineStr"/>
      <c r="F11" t="inlineStr"/>
    </row>
    <row r="12">
      <c r="A12" t="inlineStr">
        <is>
          <t>Data Protection &amp; Privacy</t>
        </is>
      </c>
      <c r="B12" t="inlineStr">
        <is>
          <t>Do you process personal data on behalf of Marymia Ltd?</t>
        </is>
      </c>
      <c r="C12" t="inlineStr"/>
      <c r="D12" t="inlineStr"/>
      <c r="E12" t="inlineStr"/>
      <c r="F12" t="inlineStr"/>
    </row>
    <row r="13">
      <c r="A13" t="inlineStr">
        <is>
          <t>Data Protection &amp; Privacy</t>
        </is>
      </c>
      <c r="B13" t="inlineStr">
        <is>
          <t>Are you GDPR compliant?</t>
        </is>
      </c>
      <c r="C13" t="inlineStr"/>
      <c r="D13" t="inlineStr"/>
      <c r="E13" t="inlineStr"/>
      <c r="F13" t="inlineStr"/>
    </row>
    <row r="14">
      <c r="A14" t="inlineStr">
        <is>
          <t>Data Protection &amp; Privacy</t>
        </is>
      </c>
      <c r="B14" t="inlineStr">
        <is>
          <t>Do you maintain a Record of Processing Activities (ROPA)?</t>
        </is>
      </c>
      <c r="C14" t="inlineStr"/>
      <c r="D14" t="inlineStr"/>
      <c r="E14" t="inlineStr"/>
      <c r="F14" t="inlineStr"/>
    </row>
    <row r="15">
      <c r="A15" t="inlineStr">
        <is>
          <t>Data Protection &amp; Privacy</t>
        </is>
      </c>
      <c r="B15" t="inlineStr">
        <is>
          <t>Is customer data encrypted at rest (AES-256 or stronger)?</t>
        </is>
      </c>
      <c r="C15" t="inlineStr"/>
      <c r="D15" t="inlineStr"/>
      <c r="E15" t="inlineStr"/>
      <c r="F15" t="inlineStr"/>
    </row>
    <row r="16">
      <c r="A16" t="inlineStr">
        <is>
          <t>Data Protection &amp; Privacy</t>
        </is>
      </c>
      <c r="B16" t="inlineStr">
        <is>
          <t>Is customer data encrypted in transit with TLS 1.2+?</t>
        </is>
      </c>
      <c r="C16" t="inlineStr"/>
      <c r="D16" t="inlineStr"/>
      <c r="E16" t="inlineStr"/>
      <c r="F16" t="inlineStr"/>
    </row>
    <row r="17">
      <c r="A17" t="inlineStr">
        <is>
          <t>Data Protection &amp; Privacy</t>
        </is>
      </c>
      <c r="B17" t="inlineStr">
        <is>
          <t>Can you support Data Subject Access Requests (DSARs) within legal timelines?</t>
        </is>
      </c>
      <c r="C17" t="inlineStr"/>
      <c r="D17" t="inlineStr"/>
      <c r="E17" t="inlineStr"/>
      <c r="F17" t="inlineStr"/>
    </row>
    <row r="18">
      <c r="A18" t="inlineStr">
        <is>
          <t>Data Protection &amp; Privacy</t>
        </is>
      </c>
      <c r="B18" t="inlineStr">
        <is>
          <t>Do you have a Data Protection Officer (DPO)? Provide contact.</t>
        </is>
      </c>
      <c r="C18" t="inlineStr"/>
      <c r="D18" t="inlineStr"/>
      <c r="E18" t="inlineStr"/>
      <c r="F18" t="inlineStr"/>
    </row>
    <row r="19">
      <c r="A19" t="inlineStr">
        <is>
          <t>Data Protection &amp; Privacy</t>
        </is>
      </c>
      <c r="B19" t="inlineStr">
        <is>
          <t>Do you restrict data access based on least privilege?</t>
        </is>
      </c>
      <c r="C19" t="inlineStr"/>
      <c r="D19" t="inlineStr"/>
      <c r="E19" t="inlineStr"/>
      <c r="F19" t="inlineStr"/>
    </row>
    <row r="20">
      <c r="A20" t="inlineStr">
        <is>
          <t>Data Protection &amp; Privacy</t>
        </is>
      </c>
      <c r="B20" t="inlineStr">
        <is>
          <t>Do you segregate customer data logically in multi-tenant environments?</t>
        </is>
      </c>
      <c r="C20" t="inlineStr"/>
      <c r="D20" t="inlineStr"/>
      <c r="E20" t="inlineStr"/>
      <c r="F20" t="inlineStr"/>
    </row>
    <row r="21">
      <c r="A21" t="inlineStr">
        <is>
          <t>Data Protection &amp; Privacy</t>
        </is>
      </c>
      <c r="B21" t="inlineStr">
        <is>
          <t>Where (country / region) is data stored or processed?</t>
        </is>
      </c>
      <c r="C21" t="inlineStr"/>
      <c r="D21" t="inlineStr"/>
      <c r="E21" t="inlineStr"/>
      <c r="F21" t="inlineStr"/>
    </row>
    <row r="22">
      <c r="A22" t="inlineStr">
        <is>
          <t>Data Protection &amp; Privacy</t>
        </is>
      </c>
      <c r="B22" t="inlineStr">
        <is>
          <t>Do you have a documented data retention schedule?</t>
        </is>
      </c>
      <c r="C22" t="inlineStr"/>
      <c r="D22" t="inlineStr"/>
      <c r="E22" t="inlineStr"/>
      <c r="F22" t="inlineStr"/>
    </row>
    <row r="23">
      <c r="A23" t="inlineStr">
        <is>
          <t>Data Protection &amp; Privacy</t>
        </is>
      </c>
      <c r="B23" t="inlineStr">
        <is>
          <t>Do you securely delete data at end-of-contract? Describe method.</t>
        </is>
      </c>
      <c r="C23" t="inlineStr"/>
      <c r="D23" t="inlineStr"/>
      <c r="E23" t="inlineStr"/>
      <c r="F23" t="inlineStr"/>
    </row>
    <row r="24">
      <c r="A24" t="inlineStr">
        <is>
          <t>Access &amp; Identity Management</t>
        </is>
      </c>
      <c r="B24" t="inlineStr">
        <is>
          <t>Do you enforce Multi-Factor Authentication (MFA) for all privileged/admin accounts?</t>
        </is>
      </c>
      <c r="C24" t="inlineStr"/>
      <c r="D24" t="inlineStr"/>
      <c r="E24" t="inlineStr"/>
      <c r="F24" t="inlineStr"/>
    </row>
    <row r="25">
      <c r="A25" t="inlineStr">
        <is>
          <t>Access &amp; Identity Management</t>
        </is>
      </c>
      <c r="B25" t="inlineStr">
        <is>
          <t>Do you review user access rights regularly (e.g. quarterly)?</t>
        </is>
      </c>
      <c r="C25" t="inlineStr"/>
      <c r="D25" t="inlineStr"/>
      <c r="E25" t="inlineStr"/>
      <c r="F25" t="inlineStr"/>
    </row>
    <row r="26">
      <c r="A26" t="inlineStr">
        <is>
          <t>Access &amp; Identity Management</t>
        </is>
      </c>
      <c r="B26" t="inlineStr">
        <is>
          <t>Do you have a joiner / mover / leaver access revocation process?</t>
        </is>
      </c>
      <c r="C26" t="inlineStr"/>
      <c r="D26" t="inlineStr"/>
      <c r="E26" t="inlineStr"/>
      <c r="F26" t="inlineStr"/>
    </row>
    <row r="27">
      <c r="A27" t="inlineStr">
        <is>
          <t>Access &amp; Identity Management</t>
        </is>
      </c>
      <c r="B27" t="inlineStr">
        <is>
          <t>Are privileged accounts separately managed and monitored?</t>
        </is>
      </c>
      <c r="C27" t="inlineStr"/>
      <c r="D27" t="inlineStr"/>
      <c r="E27" t="inlineStr"/>
      <c r="F27" t="inlineStr"/>
    </row>
    <row r="28">
      <c r="A28" t="inlineStr">
        <is>
          <t>Access &amp; Identity Management</t>
        </is>
      </c>
      <c r="B28" t="inlineStr">
        <is>
          <t>Do you log all admin activity?</t>
        </is>
      </c>
      <c r="C28" t="inlineStr"/>
      <c r="D28" t="inlineStr"/>
      <c r="E28" t="inlineStr"/>
      <c r="F28" t="inlineStr"/>
    </row>
    <row r="29">
      <c r="A29" t="inlineStr">
        <is>
          <t>Access &amp; Identity Management</t>
        </is>
      </c>
      <c r="B29" t="inlineStr">
        <is>
          <t>Do you enforce password complexity / rotation policies?</t>
        </is>
      </c>
      <c r="C29" t="inlineStr"/>
      <c r="D29" t="inlineStr"/>
      <c r="E29" t="inlineStr"/>
      <c r="F29" t="inlineStr"/>
    </row>
    <row r="30">
      <c r="A30" t="inlineStr">
        <is>
          <t>Access &amp; Identity Management</t>
        </is>
      </c>
      <c r="B30" t="inlineStr">
        <is>
          <t>Are service accounts uniquely identifiable and controlled?</t>
        </is>
      </c>
      <c r="C30" t="inlineStr"/>
      <c r="D30" t="inlineStr"/>
      <c r="E30" t="inlineStr"/>
      <c r="F30" t="inlineStr"/>
    </row>
    <row r="31">
      <c r="A31" t="inlineStr">
        <is>
          <t>Access &amp; Identity Management</t>
        </is>
      </c>
      <c r="B31" t="inlineStr">
        <is>
          <t>Do you perform background screening on employees with elevated access?</t>
        </is>
      </c>
      <c r="C31" t="inlineStr"/>
      <c r="D31" t="inlineStr"/>
      <c r="E31" t="inlineStr"/>
      <c r="F31" t="inlineStr"/>
    </row>
    <row r="32">
      <c r="A32" t="inlineStr">
        <is>
          <t>Network &amp; Infrastructure Security</t>
        </is>
      </c>
      <c r="B32" t="inlineStr">
        <is>
          <t>Do you have documented network security standards?</t>
        </is>
      </c>
      <c r="C32" t="inlineStr"/>
      <c r="D32" t="inlineStr"/>
      <c r="E32" t="inlineStr"/>
      <c r="F32" t="inlineStr"/>
    </row>
    <row r="33">
      <c r="A33" t="inlineStr">
        <is>
          <t>Network &amp; Infrastructure Security</t>
        </is>
      </c>
      <c r="B33" t="inlineStr">
        <is>
          <t>Do you segment production, development, and test environments?</t>
        </is>
      </c>
      <c r="C33" t="inlineStr"/>
      <c r="D33" t="inlineStr"/>
      <c r="E33" t="inlineStr"/>
      <c r="F33" t="inlineStr"/>
    </row>
    <row r="34">
      <c r="A34" t="inlineStr">
        <is>
          <t>Network &amp; Infrastructure Security</t>
        </is>
      </c>
      <c r="B34" t="inlineStr">
        <is>
          <t>Do you use firewalls / WAF / IDS/IPS on external interfaces?</t>
        </is>
      </c>
      <c r="C34" t="inlineStr"/>
      <c r="D34" t="inlineStr"/>
      <c r="E34" t="inlineStr"/>
      <c r="F34" t="inlineStr"/>
    </row>
    <row r="35">
      <c r="A35" t="inlineStr">
        <is>
          <t>Network &amp; Infrastructure Security</t>
        </is>
      </c>
      <c r="B35" t="inlineStr">
        <is>
          <t>Do you have DDoS protection in place?</t>
        </is>
      </c>
      <c r="C35" t="inlineStr"/>
      <c r="D35" t="inlineStr"/>
      <c r="E35" t="inlineStr"/>
      <c r="F35" t="inlineStr"/>
    </row>
    <row r="36">
      <c r="A36" t="inlineStr">
        <is>
          <t>Network &amp; Infrastructure Security</t>
        </is>
      </c>
      <c r="B36" t="inlineStr">
        <is>
          <t>Is network traffic monitored for suspicious activity (SOC / SIEM)?</t>
        </is>
      </c>
      <c r="C36" t="inlineStr"/>
      <c r="D36" t="inlineStr"/>
      <c r="E36" t="inlineStr"/>
      <c r="F36" t="inlineStr"/>
    </row>
    <row r="37">
      <c r="A37" t="inlineStr">
        <is>
          <t>Network &amp; Infrastructure Security</t>
        </is>
      </c>
      <c r="B37" t="inlineStr">
        <is>
          <t>Do you have vulnerability scanning of infrastructure?</t>
        </is>
      </c>
      <c r="C37" t="inlineStr"/>
      <c r="D37" t="inlineStr"/>
      <c r="E37" t="inlineStr"/>
      <c r="F37" t="inlineStr"/>
    </row>
    <row r="38">
      <c r="A38" t="inlineStr">
        <is>
          <t>Network &amp; Infrastructure Security</t>
        </is>
      </c>
      <c r="B38" t="inlineStr">
        <is>
          <t>Do you apply security hardening baselines to servers/endpoints?</t>
        </is>
      </c>
      <c r="C38" t="inlineStr"/>
      <c r="D38" t="inlineStr"/>
      <c r="E38" t="inlineStr"/>
      <c r="F38" t="inlineStr"/>
    </row>
    <row r="39">
      <c r="A39" t="inlineStr">
        <is>
          <t>Network &amp; Infrastructure Security</t>
        </is>
      </c>
      <c r="B39" t="inlineStr">
        <is>
          <t>Do you control and log remote administrative access?</t>
        </is>
      </c>
      <c r="C39" t="inlineStr"/>
      <c r="D39" t="inlineStr"/>
      <c r="E39" t="inlineStr"/>
      <c r="F39" t="inlineStr"/>
    </row>
    <row r="40">
      <c r="A40" t="inlineStr">
        <is>
          <t>Network &amp; Infrastructure Security</t>
        </is>
      </c>
      <c r="B40" t="inlineStr">
        <is>
          <t>Is infrastructure hosted in certified data centres or reputable cloud providers?</t>
        </is>
      </c>
      <c r="C40" t="inlineStr"/>
      <c r="D40" t="inlineStr"/>
      <c r="E40" t="inlineStr"/>
      <c r="F40" t="inlineStr"/>
    </row>
    <row r="41">
      <c r="A41" t="inlineStr">
        <is>
          <t>Network &amp; Infrastructure Security</t>
        </is>
      </c>
      <c r="B41" t="inlineStr">
        <is>
          <t>Do you maintain asset and configuration inventories?</t>
        </is>
      </c>
      <c r="C41" t="inlineStr"/>
      <c r="D41" t="inlineStr"/>
      <c r="E41" t="inlineStr"/>
      <c r="F41" t="inlineStr"/>
    </row>
    <row r="42">
      <c r="A42" t="inlineStr">
        <is>
          <t>Application Security</t>
        </is>
      </c>
      <c r="B42" t="inlineStr">
        <is>
          <t>Do you follow a Secure Development Lifecycle (SDLC)?</t>
        </is>
      </c>
      <c r="C42" t="inlineStr"/>
      <c r="D42" t="inlineStr"/>
      <c r="E42" t="inlineStr"/>
      <c r="F42" t="inlineStr"/>
    </row>
    <row r="43">
      <c r="A43" t="inlineStr">
        <is>
          <t>Application Security</t>
        </is>
      </c>
      <c r="B43" t="inlineStr">
        <is>
          <t>Do developers receive secure coding training?</t>
        </is>
      </c>
      <c r="C43" t="inlineStr"/>
      <c r="D43" t="inlineStr"/>
      <c r="E43" t="inlineStr"/>
      <c r="F43" t="inlineStr"/>
    </row>
    <row r="44">
      <c r="A44" t="inlineStr">
        <is>
          <t>Application Security</t>
        </is>
      </c>
      <c r="B44" t="inlineStr">
        <is>
          <t>Do you perform application security testing (SAST/DAST)?</t>
        </is>
      </c>
      <c r="C44" t="inlineStr"/>
      <c r="D44" t="inlineStr"/>
      <c r="E44" t="inlineStr"/>
      <c r="F44" t="inlineStr"/>
    </row>
    <row r="45">
      <c r="A45" t="inlineStr">
        <is>
          <t>Application Security</t>
        </is>
      </c>
      <c r="B45" t="inlineStr">
        <is>
          <t>Do you perform penetration testing on externally facing apps?</t>
        </is>
      </c>
      <c r="C45" t="inlineStr"/>
      <c r="D45" t="inlineStr"/>
      <c r="E45" t="inlineStr"/>
      <c r="F45" t="inlineStr"/>
    </row>
    <row r="46">
      <c r="A46" t="inlineStr">
        <is>
          <t>Application Security</t>
        </is>
      </c>
      <c r="B46" t="inlineStr">
        <is>
          <t>Do you remediate high/critical vulnerabilities within defined SLAs?</t>
        </is>
      </c>
      <c r="C46" t="inlineStr"/>
      <c r="D46" t="inlineStr"/>
      <c r="E46" t="inlineStr"/>
      <c r="F46" t="inlineStr"/>
    </row>
    <row r="47">
      <c r="A47" t="inlineStr">
        <is>
          <t>Application Security</t>
        </is>
      </c>
      <c r="B47" t="inlineStr">
        <is>
          <t>Do you manage open source / third-party libraries and dependencies?</t>
        </is>
      </c>
      <c r="C47" t="inlineStr"/>
      <c r="D47" t="inlineStr"/>
      <c r="E47" t="inlineStr"/>
      <c r="F47" t="inlineStr"/>
    </row>
    <row r="48">
      <c r="A48" t="inlineStr">
        <is>
          <t>Application Security</t>
        </is>
      </c>
      <c r="B48" t="inlineStr">
        <is>
          <t>Do you have change/version control for code deployments?</t>
        </is>
      </c>
      <c r="C48" t="inlineStr"/>
      <c r="D48" t="inlineStr"/>
      <c r="E48" t="inlineStr"/>
      <c r="F48" t="inlineStr"/>
    </row>
    <row r="49">
      <c r="A49" t="inlineStr">
        <is>
          <t>Application Security</t>
        </is>
      </c>
      <c r="B49" t="inlineStr">
        <is>
          <t>Do you restrict production access for developers?</t>
        </is>
      </c>
      <c r="C49" t="inlineStr"/>
      <c r="D49" t="inlineStr"/>
      <c r="E49" t="inlineStr"/>
      <c r="F49" t="inlineStr"/>
    </row>
    <row r="50">
      <c r="A50" t="inlineStr">
        <is>
          <t>Incident Response &amp; BCP / DR</t>
        </is>
      </c>
      <c r="B50" t="inlineStr">
        <is>
          <t>Do you maintain a documented Incident Response Plan?</t>
        </is>
      </c>
      <c r="C50" t="inlineStr"/>
      <c r="D50" t="inlineStr"/>
      <c r="E50" t="inlineStr"/>
      <c r="F50" t="inlineStr"/>
    </row>
    <row r="51">
      <c r="A51" t="inlineStr">
        <is>
          <t>Incident Response &amp; BCP / DR</t>
        </is>
      </c>
      <c r="B51" t="inlineStr">
        <is>
          <t>Do you have a 24/7 incident response / on-call process?</t>
        </is>
      </c>
      <c r="C51" t="inlineStr"/>
      <c r="D51" t="inlineStr"/>
      <c r="E51" t="inlineStr"/>
      <c r="F51" t="inlineStr"/>
    </row>
    <row r="52">
      <c r="A52" t="inlineStr">
        <is>
          <t>Incident Response &amp; BCP / DR</t>
        </is>
      </c>
      <c r="B52" t="inlineStr">
        <is>
          <t>What is your breach notification commitment to customers (hours)?</t>
        </is>
      </c>
      <c r="C52" t="inlineStr"/>
      <c r="D52" t="inlineStr"/>
      <c r="E52" t="inlineStr"/>
      <c r="F52" t="inlineStr"/>
    </row>
    <row r="53">
      <c r="A53" t="inlineStr">
        <is>
          <t>Incident Response &amp; BCP / DR</t>
        </is>
      </c>
      <c r="B53" t="inlineStr">
        <is>
          <t>Have you experienced a material security incident in the last 24 months? If yes, summarise.</t>
        </is>
      </c>
      <c r="C53" t="inlineStr"/>
      <c r="D53" t="inlineStr"/>
      <c r="E53" t="inlineStr"/>
      <c r="F53" t="inlineStr"/>
    </row>
    <row r="54">
      <c r="A54" t="inlineStr">
        <is>
          <t>Incident Response &amp; BCP / DR</t>
        </is>
      </c>
      <c r="B54" t="inlineStr">
        <is>
          <t>Do you conduct incident response exercises / tabletops at least annually?</t>
        </is>
      </c>
      <c r="C54" t="inlineStr"/>
      <c r="D54" t="inlineStr"/>
      <c r="E54" t="inlineStr"/>
      <c r="F54" t="inlineStr"/>
    </row>
    <row r="55">
      <c r="A55" t="inlineStr">
        <is>
          <t>Incident Response &amp; BCP / DR</t>
        </is>
      </c>
      <c r="B55" t="inlineStr">
        <is>
          <t>Do you have a documented Business Continuity Plan (BCP)?</t>
        </is>
      </c>
      <c r="C55" t="inlineStr"/>
      <c r="D55" t="inlineStr"/>
      <c r="E55" t="inlineStr"/>
      <c r="F55" t="inlineStr"/>
    </row>
    <row r="56">
      <c r="A56" t="inlineStr">
        <is>
          <t>Incident Response &amp; BCP / DR</t>
        </is>
      </c>
      <c r="B56" t="inlineStr">
        <is>
          <t>Do you have a documented Disaster Recovery (DR) Plan?</t>
        </is>
      </c>
      <c r="C56" t="inlineStr"/>
      <c r="D56" t="inlineStr"/>
      <c r="E56" t="inlineStr"/>
      <c r="F56" t="inlineStr"/>
    </row>
    <row r="57">
      <c r="A57" t="inlineStr">
        <is>
          <t>Incident Response &amp; BCP / DR</t>
        </is>
      </c>
      <c r="B57" t="inlineStr">
        <is>
          <t>When was your last DR test date? (Provide evidence)</t>
        </is>
      </c>
      <c r="C57" t="inlineStr"/>
      <c r="D57" t="inlineStr"/>
      <c r="E57" t="inlineStr"/>
      <c r="F57" t="inlineStr"/>
    </row>
    <row r="58">
      <c r="A58" t="inlineStr">
        <is>
          <t>Incident Response &amp; BCP / DR</t>
        </is>
      </c>
      <c r="B58" t="inlineStr">
        <is>
          <t>What are your stated Recovery Time Objective (RTO) targets?</t>
        </is>
      </c>
      <c r="C58" t="inlineStr"/>
      <c r="D58" t="inlineStr"/>
      <c r="E58" t="inlineStr"/>
      <c r="F58" t="inlineStr"/>
    </row>
    <row r="59">
      <c r="A59" t="inlineStr">
        <is>
          <t>Incident Response &amp; BCP / DR</t>
        </is>
      </c>
      <c r="B59" t="inlineStr">
        <is>
          <t>What are your stated Recovery Point Objective (RPO) targets?</t>
        </is>
      </c>
      <c r="C59" t="inlineStr"/>
      <c r="D59" t="inlineStr"/>
      <c r="E59" t="inlineStr"/>
      <c r="F59" t="inlineStr"/>
    </row>
    <row r="60">
      <c r="A60" t="inlineStr">
        <is>
          <t>Incident Response &amp; BCP / DR</t>
        </is>
      </c>
      <c r="B60" t="inlineStr">
        <is>
          <t>Are critical systems deployed redundantly / across multiple zones or regions?</t>
        </is>
      </c>
      <c r="C60" t="inlineStr"/>
      <c r="D60" t="inlineStr"/>
      <c r="E60" t="inlineStr"/>
      <c r="F60" t="inlineStr"/>
    </row>
    <row r="61">
      <c r="A61" t="inlineStr">
        <is>
          <t>Compliance &amp; Certifications</t>
        </is>
      </c>
      <c r="B61" t="inlineStr">
        <is>
          <t>Do you hold ISO 27001 certification? Provide latest certificate.</t>
        </is>
      </c>
      <c r="C61" t="inlineStr"/>
      <c r="D61" t="inlineStr"/>
      <c r="E61" t="inlineStr"/>
      <c r="F61" t="inlineStr"/>
    </row>
    <row r="62">
      <c r="A62" t="inlineStr">
        <is>
          <t>Compliance &amp; Certifications</t>
        </is>
      </c>
      <c r="B62" t="inlineStr">
        <is>
          <t>Do you hold SOC 2 Type II or equivalent? Provide latest report or bridge letter.</t>
        </is>
      </c>
      <c r="C62" t="inlineStr"/>
      <c r="D62" t="inlineStr"/>
      <c r="E62" t="inlineStr"/>
      <c r="F62" t="inlineStr"/>
    </row>
    <row r="63">
      <c r="A63" t="inlineStr">
        <is>
          <t>Compliance &amp; Certifications</t>
        </is>
      </c>
      <c r="B63" t="inlineStr">
        <is>
          <t>Do you process payment card data? If yes, are you PCI DSS compliant?</t>
        </is>
      </c>
      <c r="C63" t="inlineStr"/>
      <c r="D63" t="inlineStr"/>
      <c r="E63" t="inlineStr"/>
      <c r="F63" t="inlineStr"/>
    </row>
    <row r="64">
      <c r="A64" t="inlineStr">
        <is>
          <t>Compliance &amp; Certifications</t>
        </is>
      </c>
      <c r="B64" t="inlineStr">
        <is>
          <t>Do you have documented policies for regulatory compliance?</t>
        </is>
      </c>
      <c r="C64" t="inlineStr"/>
      <c r="D64" t="inlineStr"/>
      <c r="E64" t="inlineStr"/>
      <c r="F64" t="inlineStr"/>
    </row>
    <row r="65">
      <c r="A65" t="inlineStr">
        <is>
          <t>Compliance &amp; Certifications</t>
        </is>
      </c>
      <c r="B65" t="inlineStr">
        <is>
          <t>Have you been subject to regulatory enforcement in the last 24 months?</t>
        </is>
      </c>
      <c r="C65" t="inlineStr"/>
      <c r="D65" t="inlineStr"/>
      <c r="E65" t="inlineStr"/>
      <c r="F65" t="inlineStr"/>
    </row>
    <row r="66">
      <c r="A66" t="inlineStr">
        <is>
          <t>Compliance &amp; Certifications</t>
        </is>
      </c>
      <c r="B66" t="inlineStr">
        <is>
          <t>Do you have defined retention periods for audit evidence?</t>
        </is>
      </c>
      <c r="C66" t="inlineStr"/>
      <c r="D66" t="inlineStr"/>
      <c r="E66" t="inlineStr"/>
      <c r="F66" t="inlineStr"/>
    </row>
    <row r="67">
      <c r="A67" t="inlineStr">
        <is>
          <t>Subprocessors / Third Parties</t>
        </is>
      </c>
      <c r="B67" t="inlineStr">
        <is>
          <t>Do you use subprocessors to deliver this service?</t>
        </is>
      </c>
      <c r="C67" t="inlineStr"/>
      <c r="D67" t="inlineStr"/>
      <c r="E67" t="inlineStr"/>
      <c r="F67" t="inlineStr"/>
    </row>
    <row r="68">
      <c r="A68" t="inlineStr">
        <is>
          <t>Subprocessors / Third Parties</t>
        </is>
      </c>
      <c r="B68" t="inlineStr">
        <is>
          <t>Do you assess the security posture of your subprocessors?</t>
        </is>
      </c>
      <c r="C68" t="inlineStr"/>
      <c r="D68" t="inlineStr"/>
      <c r="E68" t="inlineStr"/>
      <c r="F68" t="inlineStr"/>
    </row>
    <row r="69">
      <c r="A69" t="inlineStr">
        <is>
          <t>Subprocessors / Third Parties</t>
        </is>
      </c>
      <c r="B69" t="inlineStr">
        <is>
          <t>Do you pass equivalent data protection clauses to your subprocessors?</t>
        </is>
      </c>
      <c r="C69" t="inlineStr"/>
      <c r="D69" t="inlineStr"/>
      <c r="E69" t="inlineStr"/>
      <c r="F69" t="inlineStr"/>
    </row>
    <row r="70">
      <c r="A70" t="inlineStr">
        <is>
          <t>Subprocessors / Third Parties</t>
        </is>
      </c>
      <c r="B70" t="inlineStr">
        <is>
          <t>Do you maintain an up-to-date subprocessor register?</t>
        </is>
      </c>
      <c r="C70" t="inlineStr"/>
      <c r="D70" t="inlineStr"/>
      <c r="E70" t="inlineStr"/>
      <c r="F70" t="inlineStr"/>
    </row>
    <row r="71">
      <c r="A71" t="inlineStr">
        <is>
          <t>Subprocessors / Third Parties</t>
        </is>
      </c>
      <c r="B71" t="inlineStr">
        <is>
          <t>Do you notify customers before onboarding new subprocessors?</t>
        </is>
      </c>
      <c r="C71" t="inlineStr"/>
      <c r="D71" t="inlineStr"/>
      <c r="E71" t="inlineStr"/>
      <c r="F71" t="inlineStr"/>
    </row>
    <row r="72">
      <c r="A72" t="inlineStr">
        <is>
          <t>Subprocessors / Third Parties</t>
        </is>
      </c>
      <c r="B72" t="inlineStr">
        <is>
          <t>Can you provide evidence of vendor due diligence on critical subprocessors?</t>
        </is>
      </c>
      <c r="C72" t="inlineStr"/>
      <c r="D72" t="inlineStr"/>
      <c r="E72" t="inlineStr"/>
      <c r="F72" t="inlineStr"/>
    </row>
    <row r="73">
      <c r="A73" t="inlineStr">
        <is>
          <t>Training &amp; Awareness</t>
        </is>
      </c>
      <c r="B73" t="inlineStr">
        <is>
          <t>Do you provide mandatory annual security awareness training to all staff?</t>
        </is>
      </c>
      <c r="C73" t="inlineStr"/>
      <c r="D73" t="inlineStr"/>
      <c r="E73" t="inlineStr"/>
      <c r="F73" t="inlineStr"/>
    </row>
    <row r="74">
      <c r="A74" t="inlineStr">
        <is>
          <t>Training &amp; Awareness</t>
        </is>
      </c>
      <c r="B74" t="inlineStr">
        <is>
          <t>Do you run phishing simulation campaigns?</t>
        </is>
      </c>
      <c r="C74" t="inlineStr"/>
      <c r="D74" t="inlineStr"/>
      <c r="E74" t="inlineStr"/>
      <c r="F74" t="inlineStr"/>
    </row>
    <row r="75">
      <c r="A75" t="inlineStr">
        <is>
          <t>Training &amp; Awareness</t>
        </is>
      </c>
      <c r="B75" t="inlineStr">
        <is>
          <t>Is specialist training provided to privileged users / admins?</t>
        </is>
      </c>
      <c r="C75" t="inlineStr"/>
      <c r="D75" t="inlineStr"/>
      <c r="E75" t="inlineStr"/>
      <c r="F75" t="inlineStr"/>
    </row>
    <row r="76">
      <c r="A76" t="inlineStr">
        <is>
          <t>Training &amp; Awareness</t>
        </is>
      </c>
      <c r="B76" t="inlineStr">
        <is>
          <t>Is training completion tracked and evidenced?</t>
        </is>
      </c>
      <c r="C76" t="inlineStr"/>
      <c r="D76" t="inlineStr"/>
      <c r="E76" t="inlineStr"/>
      <c r="F76" t="inlineStr"/>
    </row>
    <row r="77">
      <c r="A77" t="inlineStr">
        <is>
          <t>Physical Security &amp; Facilities</t>
        </is>
      </c>
      <c r="B77" t="inlineStr">
        <is>
          <t>Do you have physical access controls (badges, biometrics, mantraps) for offices / data centres?</t>
        </is>
      </c>
      <c r="C77" t="inlineStr"/>
      <c r="D77" t="inlineStr"/>
      <c r="E77" t="inlineStr"/>
      <c r="F77" t="inlineStr"/>
    </row>
    <row r="78">
      <c r="A78" t="inlineStr">
        <is>
          <t>Physical Security &amp; Facilities</t>
        </is>
      </c>
      <c r="B78" t="inlineStr">
        <is>
          <t>Is CCTV / surveillance used in sensitive areas?</t>
        </is>
      </c>
      <c r="C78" t="inlineStr"/>
      <c r="D78" t="inlineStr"/>
      <c r="E78" t="inlineStr"/>
      <c r="F78" t="inlineStr"/>
    </row>
    <row r="79">
      <c r="A79" t="inlineStr">
        <is>
          <t>Physical Security &amp; Facilities</t>
        </is>
      </c>
      <c r="B79" t="inlineStr">
        <is>
          <t>Are visitor logs maintained and reviewed?</t>
        </is>
      </c>
      <c r="C79" t="inlineStr"/>
      <c r="D79" t="inlineStr"/>
      <c r="E79" t="inlineStr"/>
      <c r="F79" t="inlineStr"/>
    </row>
    <row r="80">
      <c r="A80" t="inlineStr">
        <is>
          <t>Physical Security &amp; Facilities</t>
        </is>
      </c>
      <c r="B80" t="inlineStr">
        <is>
          <t>Is hardware/media securely stored and disposed of?</t>
        </is>
      </c>
      <c r="C80" t="inlineStr"/>
      <c r="D80" t="inlineStr"/>
      <c r="E80" t="inlineStr"/>
      <c r="F80" t="inlineStr"/>
    </row>
    <row r="81">
      <c r="A81" t="inlineStr">
        <is>
          <t>Physical Security &amp; Facilities</t>
        </is>
      </c>
      <c r="B81" t="inlineStr">
        <is>
          <t>Are cleaning/maintenance staff vetted where they have access to sensitive areas?</t>
        </is>
      </c>
      <c r="C81" t="inlineStr"/>
      <c r="D81" t="inlineStr"/>
      <c r="E81" t="inlineStr"/>
      <c r="F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4" customWidth="1" min="3" max="3"/>
    <col width="24" customWidth="1" min="4" max="4"/>
    <col width="18" customWidth="1" min="5" max="5"/>
  </cols>
  <sheetData>
    <row r="1">
      <c r="A1" s="7" t="inlineStr">
        <is>
          <t>Domain</t>
        </is>
      </c>
      <c r="B1" s="7" t="inlineStr">
        <is>
          <t>Average Score (0-5)</t>
        </is>
      </c>
      <c r="C1" s="7" t="inlineStr">
        <is>
          <t>Weight (%)</t>
        </is>
      </c>
      <c r="D1" s="7" t="inlineStr">
        <is>
          <t>Weighted Contribution</t>
        </is>
      </c>
      <c r="E1" s="7" t="inlineStr">
        <is>
          <t>Risk Bucket (Auto)</t>
        </is>
      </c>
    </row>
    <row r="2">
      <c r="A2" t="inlineStr">
        <is>
          <t>Governance &amp; Management</t>
        </is>
      </c>
      <c r="B2">
        <f>AVERAGEIF(Questionnaire!F2:F11,"&gt;=0")</f>
        <v/>
      </c>
      <c r="C2" t="n">
        <v>10</v>
      </c>
      <c r="D2">
        <f>B2*C2/100</f>
        <v/>
      </c>
      <c r="E2">
        <f>IF(B2&gt;=4,"Low",IF(B2&gt;=3,"Medium","High"))</f>
        <v/>
      </c>
    </row>
    <row r="3">
      <c r="A3" t="inlineStr">
        <is>
          <t>Data Protection &amp; Privacy</t>
        </is>
      </c>
      <c r="B3">
        <f>AVERAGEIF(Questionnaire!F12:F23,"&gt;=0")</f>
        <v/>
      </c>
      <c r="C3" t="n">
        <v>15</v>
      </c>
      <c r="D3">
        <f>B3*C3/100</f>
        <v/>
      </c>
      <c r="E3">
        <f>IF(B3&gt;=4,"Low",IF(B3&gt;=3,"Medium","High"))</f>
        <v/>
      </c>
    </row>
    <row r="4">
      <c r="A4" t="inlineStr">
        <is>
          <t>Access &amp; Identity Management</t>
        </is>
      </c>
      <c r="B4">
        <f>AVERAGEIF(Questionnaire!F24:F31,"&gt;=0")</f>
        <v/>
      </c>
      <c r="C4" t="n">
        <v>10</v>
      </c>
      <c r="D4">
        <f>B4*C4/100</f>
        <v/>
      </c>
      <c r="E4">
        <f>IF(B4&gt;=4,"Low",IF(B4&gt;=3,"Medium","High"))</f>
        <v/>
      </c>
    </row>
    <row r="5">
      <c r="A5" t="inlineStr">
        <is>
          <t>Network &amp; Infrastructure Security</t>
        </is>
      </c>
      <c r="B5">
        <f>AVERAGEIF(Questionnaire!F32:F41,"&gt;=0")</f>
        <v/>
      </c>
      <c r="C5" t="n">
        <v>10</v>
      </c>
      <c r="D5">
        <f>B5*C5/100</f>
        <v/>
      </c>
      <c r="E5">
        <f>IF(B5&gt;=4,"Low",IF(B5&gt;=3,"Medium","High"))</f>
        <v/>
      </c>
    </row>
    <row r="6">
      <c r="A6" t="inlineStr">
        <is>
          <t>Application Security</t>
        </is>
      </c>
      <c r="B6">
        <f>AVERAGEIF(Questionnaire!F42:F49,"&gt;=0")</f>
        <v/>
      </c>
      <c r="C6" t="n">
        <v>10</v>
      </c>
      <c r="D6">
        <f>B6*C6/100</f>
        <v/>
      </c>
      <c r="E6">
        <f>IF(B6&gt;=4,"Low",IF(B6&gt;=3,"Medium","High"))</f>
        <v/>
      </c>
    </row>
    <row r="7">
      <c r="A7" t="inlineStr">
        <is>
          <t>Incident Response &amp; BCP / DR</t>
        </is>
      </c>
      <c r="B7">
        <f>AVERAGEIF(Questionnaire!F50:F60,"&gt;=0")</f>
        <v/>
      </c>
      <c r="C7" t="n">
        <v>15</v>
      </c>
      <c r="D7">
        <f>B7*C7/100</f>
        <v/>
      </c>
      <c r="E7">
        <f>IF(B7&gt;=4,"Low",IF(B7&gt;=3,"Medium","High"))</f>
        <v/>
      </c>
    </row>
    <row r="8">
      <c r="A8" t="inlineStr">
        <is>
          <t>Compliance &amp; Certifications</t>
        </is>
      </c>
      <c r="B8">
        <f>AVERAGEIF(Questionnaire!F61:F66,"&gt;=0")</f>
        <v/>
      </c>
      <c r="C8" t="n">
        <v>10</v>
      </c>
      <c r="D8">
        <f>B8*C8/100</f>
        <v/>
      </c>
      <c r="E8">
        <f>IF(B8&gt;=4,"Low",IF(B8&gt;=3,"Medium","High"))</f>
        <v/>
      </c>
    </row>
    <row r="9">
      <c r="A9" t="inlineStr">
        <is>
          <t>Subprocessors / Third Parties</t>
        </is>
      </c>
      <c r="B9">
        <f>AVERAGEIF(Questionnaire!F67:F72,"&gt;=0")</f>
        <v/>
      </c>
      <c r="C9" t="n">
        <v>8</v>
      </c>
      <c r="D9">
        <f>B9*C9/100</f>
        <v/>
      </c>
      <c r="E9">
        <f>IF(B9&gt;=4,"Low",IF(B9&gt;=3,"Medium","High"))</f>
        <v/>
      </c>
    </row>
    <row r="10">
      <c r="A10" t="inlineStr">
        <is>
          <t>Training &amp; Awareness</t>
        </is>
      </c>
      <c r="B10">
        <f>AVERAGEIF(Questionnaire!F73:F76,"&gt;=0")</f>
        <v/>
      </c>
      <c r="C10" t="n">
        <v>7</v>
      </c>
      <c r="D10">
        <f>B10*C10/100</f>
        <v/>
      </c>
      <c r="E10">
        <f>IF(B10&gt;=4,"Low",IF(B10&gt;=3,"Medium","High"))</f>
        <v/>
      </c>
    </row>
    <row r="11">
      <c r="A11" t="inlineStr">
        <is>
          <t>Physical Security &amp; Facilities</t>
        </is>
      </c>
      <c r="B11">
        <f>AVERAGEIF(Questionnaire!F77:F81,"&gt;=0")</f>
        <v/>
      </c>
      <c r="C11" t="n">
        <v>5</v>
      </c>
      <c r="D11">
        <f>B11*C11/100</f>
        <v/>
      </c>
      <c r="E11">
        <f>IF(B11&gt;=4,"Low",IF(B11&gt;=3,"Medium","High"))</f>
        <v/>
      </c>
    </row>
    <row r="13">
      <c r="A13" s="2" t="inlineStr">
        <is>
          <t>TOTAL WEIGHTED SCORE</t>
        </is>
      </c>
      <c r="B13">
        <f>SUM(D2:D11)</f>
        <v/>
      </c>
      <c r="C13" s="2" t="inlineStr">
        <is>
          <t>Overall Risk Rating</t>
        </is>
      </c>
      <c r="D13">
        <f>IF(B13&gt;=4,"Low",IF(B13&gt;=3,"Medium","High"))</f>
        <v/>
      </c>
    </row>
  </sheetData>
  <conditionalFormatting sqref="D13">
    <cfRule type="expression" priority="1" dxfId="0">
      <formula>INDIRECT("D13")="Low"</formula>
    </cfRule>
    <cfRule type="expression" priority="2" dxfId="1">
      <formula>INDIRECT("D13")="Medium"</formula>
    </cfRule>
    <cfRule type="expression" priority="3" dxfId="2">
      <formula>INDIRECT("D13")="High"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6" customWidth="1" min="3" max="3"/>
    <col width="16" customWidth="1" min="4" max="4"/>
    <col width="26" customWidth="1" min="5" max="5"/>
    <col width="18" customWidth="1" min="6" max="6"/>
    <col width="14" customWidth="1" min="7" max="7"/>
    <col width="18" customWidth="1" min="8" max="8"/>
    <col width="44" customWidth="1" min="9" max="9"/>
    <col width="32" customWidth="1" min="10" max="10"/>
  </cols>
  <sheetData>
    <row r="1">
      <c r="A1" s="7" t="inlineStr">
        <is>
          <t>Vendor</t>
        </is>
      </c>
      <c r="B1" s="7" t="inlineStr">
        <is>
          <t>Service Type</t>
        </is>
      </c>
      <c r="C1" s="7" t="inlineStr">
        <is>
          <t>Date Sent</t>
        </is>
      </c>
      <c r="D1" s="7" t="inlineStr">
        <is>
          <t>Response Date</t>
        </is>
      </c>
      <c r="E1" s="7" t="inlineStr">
        <is>
          <t>Reviewed By</t>
        </is>
      </c>
      <c r="F1" s="7" t="inlineStr">
        <is>
          <t>Weighted Score</t>
        </is>
      </c>
      <c r="G1" s="7" t="inlineStr">
        <is>
          <t>Overall Risk</t>
        </is>
      </c>
      <c r="H1" s="7" t="inlineStr">
        <is>
          <t>Next Review Date</t>
        </is>
      </c>
      <c r="I1" s="7" t="inlineStr">
        <is>
          <t>Key Gaps / Notes</t>
        </is>
      </c>
      <c r="J1" s="7" t="inlineStr">
        <is>
          <t>Recommendation</t>
        </is>
      </c>
    </row>
    <row r="2">
      <c r="A2" t="inlineStr">
        <is>
          <t>AWS (Amazon Web Services)</t>
        </is>
      </c>
      <c r="B2" t="inlineStr">
        <is>
          <t>Cloud Hosting &amp; Infrastructure</t>
        </is>
      </c>
      <c r="C2" t="inlineStr">
        <is>
          <t>10-Jul-2024</t>
        </is>
      </c>
      <c r="D2" t="inlineStr">
        <is>
          <t>17-Jul-2024</t>
        </is>
      </c>
      <c r="E2" t="inlineStr">
        <is>
          <t>Ikuomola Adedeji</t>
        </is>
      </c>
      <c r="F2" t="n">
        <v>4.6</v>
      </c>
      <c r="G2" t="inlineStr">
        <is>
          <t>Low</t>
        </is>
      </c>
      <c r="H2" t="inlineStr">
        <is>
          <t>10-Jul-2025</t>
        </is>
      </c>
      <c r="I2" t="inlineStr">
        <is>
          <t>Strong ISO/SOC posture</t>
        </is>
      </c>
      <c r="J2" t="inlineStr">
        <is>
          <t>Maintain service</t>
        </is>
      </c>
    </row>
    <row r="3">
      <c r="A3" t="inlineStr">
        <is>
          <t>Microsoft Azure</t>
        </is>
      </c>
      <c r="B3" t="inlineStr">
        <is>
          <t>Cloud Hosting &amp; Identity</t>
        </is>
      </c>
      <c r="C3" t="inlineStr">
        <is>
          <t>10-Jul-2024</t>
        </is>
      </c>
      <c r="D3" t="inlineStr">
        <is>
          <t>17-Jul-2024</t>
        </is>
      </c>
      <c r="E3" t="inlineStr">
        <is>
          <t>Ikuomola Adedeji</t>
        </is>
      </c>
      <c r="F3" t="n">
        <v>4.5</v>
      </c>
      <c r="G3" t="inlineStr">
        <is>
          <t>Low</t>
        </is>
      </c>
      <c r="H3" t="inlineStr">
        <is>
          <t>10-Jul-2025</t>
        </is>
      </c>
      <c r="I3" t="inlineStr">
        <is>
          <t>Mature access controls/MFA enforced</t>
        </is>
      </c>
      <c r="J3" t="inlineStr">
        <is>
          <t>Maintain</t>
        </is>
      </c>
    </row>
    <row r="4">
      <c r="A4" t="inlineStr">
        <is>
          <t>Google Workspace</t>
        </is>
      </c>
      <c r="B4" t="inlineStr">
        <is>
          <t>Productivity &amp; Email</t>
        </is>
      </c>
      <c r="C4" t="inlineStr">
        <is>
          <t>10-Jul-2024</t>
        </is>
      </c>
      <c r="D4" t="inlineStr">
        <is>
          <t>17-Jul-2024</t>
        </is>
      </c>
      <c r="E4" t="inlineStr">
        <is>
          <t>Ikuomola Adedeji</t>
        </is>
      </c>
      <c r="F4" t="n">
        <v>3.9</v>
      </c>
      <c r="G4" t="inlineStr">
        <is>
          <t>Medium</t>
        </is>
      </c>
      <c r="H4" t="inlineStr">
        <is>
          <t>10-Jul-2025</t>
        </is>
      </c>
      <c r="I4" t="inlineStr">
        <is>
          <t>Shared tenancy risk</t>
        </is>
      </c>
      <c r="J4" t="inlineStr">
        <is>
          <t>Monitor config reviews</t>
        </is>
      </c>
    </row>
    <row r="5">
      <c r="A5" t="inlineStr">
        <is>
          <t>Cisco Systems</t>
        </is>
      </c>
      <c r="B5" t="inlineStr">
        <is>
          <t>Networking &amp; Security</t>
        </is>
      </c>
      <c r="C5" t="inlineStr">
        <is>
          <t>10-Jul-2024</t>
        </is>
      </c>
      <c r="D5" t="inlineStr">
        <is>
          <t>17-Jul-2024</t>
        </is>
      </c>
      <c r="E5" t="inlineStr">
        <is>
          <t>Ikuomola Adedeji</t>
        </is>
      </c>
      <c r="F5" t="n">
        <v>3.7</v>
      </c>
      <c r="G5" t="inlineStr">
        <is>
          <t>Medium</t>
        </is>
      </c>
      <c r="H5" t="inlineStr">
        <is>
          <t>10-Jul-2025</t>
        </is>
      </c>
      <c r="I5" t="inlineStr">
        <is>
          <t>Patch mgmt cadence monthly</t>
        </is>
      </c>
      <c r="J5" t="inlineStr">
        <is>
          <t>Accept w/ monitoring</t>
        </is>
      </c>
    </row>
    <row r="6">
      <c r="A6" t="inlineStr">
        <is>
          <t>Dell Technologies</t>
        </is>
      </c>
      <c r="B6" t="inlineStr">
        <is>
          <t>Hardware &amp; Support</t>
        </is>
      </c>
      <c r="C6" t="inlineStr">
        <is>
          <t>10-Jul-2024</t>
        </is>
      </c>
      <c r="D6" t="inlineStr">
        <is>
          <t>17-Jul-2024</t>
        </is>
      </c>
      <c r="E6" t="inlineStr">
        <is>
          <t>Ikuomola Adedeji</t>
        </is>
      </c>
      <c r="F6" t="n">
        <v>3.5</v>
      </c>
      <c r="G6" t="inlineStr">
        <is>
          <t>Medium</t>
        </is>
      </c>
      <c r="H6" t="inlineStr">
        <is>
          <t>10-Jul-2025</t>
        </is>
      </c>
      <c r="I6" t="inlineStr">
        <is>
          <t>Limited breach notification SLA</t>
        </is>
      </c>
      <c r="J6" t="inlineStr">
        <is>
          <t>Add contract clause</t>
        </is>
      </c>
    </row>
    <row r="7">
      <c r="A7" t="inlineStr">
        <is>
          <t>Salesforce</t>
        </is>
      </c>
      <c r="B7" t="inlineStr">
        <is>
          <t>CRM Platform</t>
        </is>
      </c>
      <c r="C7" t="inlineStr">
        <is>
          <t>10-Jul-2024</t>
        </is>
      </c>
      <c r="D7" t="inlineStr">
        <is>
          <t>17-Jul-2024</t>
        </is>
      </c>
      <c r="E7" t="inlineStr">
        <is>
          <t>Ikuomola Adedeji</t>
        </is>
      </c>
      <c r="F7" t="n">
        <v>4.2</v>
      </c>
      <c r="G7" t="inlineStr">
        <is>
          <t>Low</t>
        </is>
      </c>
      <c r="H7" t="inlineStr">
        <is>
          <t>10-Jul-2025</t>
        </is>
      </c>
      <c r="I7" t="inlineStr">
        <is>
          <t>Customer data encryption, SOC2</t>
        </is>
      </c>
      <c r="J7" t="inlineStr">
        <is>
          <t>Maintain</t>
        </is>
      </c>
    </row>
    <row r="8">
      <c r="A8" t="inlineStr">
        <is>
          <t>Workday</t>
        </is>
      </c>
      <c r="B8" t="inlineStr">
        <is>
          <t>HR &amp; Payroll Platform</t>
        </is>
      </c>
      <c r="C8" t="inlineStr">
        <is>
          <t>10-Jul-2024</t>
        </is>
      </c>
      <c r="D8" t="inlineStr">
        <is>
          <t>17-Jul-2024</t>
        </is>
      </c>
      <c r="E8" t="inlineStr">
        <is>
          <t>Ikuomola Adedeji</t>
        </is>
      </c>
      <c r="F8" t="n">
        <v>3.6</v>
      </c>
      <c r="G8" t="inlineStr">
        <is>
          <t>Medium</t>
        </is>
      </c>
      <c r="H8" t="inlineStr">
        <is>
          <t>10-Jul-2025</t>
        </is>
      </c>
      <c r="I8" t="inlineStr">
        <is>
          <t>BCP tested annually</t>
        </is>
      </c>
      <c r="J8" t="inlineStr">
        <is>
          <t>Mitigate minor gaps</t>
        </is>
      </c>
    </row>
    <row r="9">
      <c r="A9" t="inlineStr">
        <is>
          <t>ServiceNow</t>
        </is>
      </c>
      <c r="B9" t="inlineStr">
        <is>
          <t>ITSM Platform</t>
        </is>
      </c>
      <c r="C9" t="inlineStr">
        <is>
          <t>10-Jul-2024</t>
        </is>
      </c>
      <c r="D9" t="inlineStr">
        <is>
          <t>17-Jul-2024</t>
        </is>
      </c>
      <c r="E9" t="inlineStr">
        <is>
          <t>Ikuomola Adedeji</t>
        </is>
      </c>
      <c r="F9" t="n">
        <v>3.4</v>
      </c>
      <c r="G9" t="inlineStr">
        <is>
          <t>Medium</t>
        </is>
      </c>
      <c r="H9" t="inlineStr">
        <is>
          <t>10-Jul-2025</t>
        </is>
      </c>
      <c r="I9" t="inlineStr">
        <is>
          <t>Breach notification 48h not 24h</t>
        </is>
      </c>
      <c r="J9" t="inlineStr">
        <is>
          <t>Update SLA</t>
        </is>
      </c>
    </row>
    <row r="10">
      <c r="A10" t="inlineStr">
        <is>
          <t>Slack</t>
        </is>
      </c>
      <c r="B10" t="inlineStr">
        <is>
          <t>Collaboration Tool</t>
        </is>
      </c>
      <c r="C10" t="inlineStr">
        <is>
          <t>10-Jul-2024</t>
        </is>
      </c>
      <c r="D10" t="inlineStr">
        <is>
          <t>17-Jul-2024</t>
        </is>
      </c>
      <c r="E10" t="inlineStr">
        <is>
          <t>Ikuomola Adedeji</t>
        </is>
      </c>
      <c r="F10" t="n">
        <v>3.2</v>
      </c>
      <c r="G10" t="inlineStr">
        <is>
          <t>Medium</t>
        </is>
      </c>
      <c r="H10" t="inlineStr">
        <is>
          <t>10-Jul-2025</t>
        </is>
      </c>
      <c r="I10" t="inlineStr">
        <is>
          <t>No ISO cert provided</t>
        </is>
      </c>
      <c r="J10" t="inlineStr">
        <is>
          <t>Request evidence</t>
        </is>
      </c>
    </row>
    <row r="11">
      <c r="A11" t="inlineStr">
        <is>
          <t>Zoom</t>
        </is>
      </c>
      <c r="B11" t="inlineStr">
        <is>
          <t>Video Conferencing</t>
        </is>
      </c>
      <c r="C11" t="inlineStr">
        <is>
          <t>10-Jul-2024</t>
        </is>
      </c>
      <c r="D11" t="inlineStr">
        <is>
          <t>17-Jul-2024</t>
        </is>
      </c>
      <c r="E11" t="inlineStr">
        <is>
          <t>Ikuomola Adedeji</t>
        </is>
      </c>
      <c r="F11" t="n">
        <v>3.1</v>
      </c>
      <c r="G11" t="inlineStr">
        <is>
          <t>Medium</t>
        </is>
      </c>
      <c r="H11" t="inlineStr">
        <is>
          <t>10-Jul-2025</t>
        </is>
      </c>
      <c r="I11" t="inlineStr">
        <is>
          <t>Data residency concerns</t>
        </is>
      </c>
      <c r="J11" t="inlineStr">
        <is>
          <t>Monitor</t>
        </is>
      </c>
    </row>
    <row r="12">
      <c r="A12" t="inlineStr">
        <is>
          <t>CrowdStrike</t>
        </is>
      </c>
      <c r="B12" t="inlineStr">
        <is>
          <t>Endpoint Security</t>
        </is>
      </c>
      <c r="C12" t="inlineStr">
        <is>
          <t>10-Jul-2024</t>
        </is>
      </c>
      <c r="D12" t="inlineStr">
        <is>
          <t>17-Jul-2024</t>
        </is>
      </c>
      <c r="E12" t="inlineStr">
        <is>
          <t>Ikuomola Adedeji</t>
        </is>
      </c>
      <c r="F12" t="n">
        <v>4.4</v>
      </c>
      <c r="G12" t="inlineStr">
        <is>
          <t>Low</t>
        </is>
      </c>
      <c r="H12" t="inlineStr">
        <is>
          <t>10-Jul-2025</t>
        </is>
      </c>
      <c r="I12" t="inlineStr">
        <is>
          <t>Strong IR capability</t>
        </is>
      </c>
      <c r="J12" t="inlineStr">
        <is>
          <t>Maintain</t>
        </is>
      </c>
    </row>
    <row r="13">
      <c r="A13" t="inlineStr">
        <is>
          <t>Okta</t>
        </is>
      </c>
      <c r="B13" t="inlineStr">
        <is>
          <t>Identity &amp; Access Management</t>
        </is>
      </c>
      <c r="C13" t="inlineStr">
        <is>
          <t>10-Jul-2024</t>
        </is>
      </c>
      <c r="D13" t="inlineStr">
        <is>
          <t>17-Jul-2024</t>
        </is>
      </c>
      <c r="E13" t="inlineStr">
        <is>
          <t>Ikuomola Adedeji</t>
        </is>
      </c>
      <c r="F13" t="n">
        <v>4.3</v>
      </c>
      <c r="G13" t="inlineStr">
        <is>
          <t>Low</t>
        </is>
      </c>
      <c r="H13" t="inlineStr">
        <is>
          <t>10-Jul-2025</t>
        </is>
      </c>
      <c r="I13" t="inlineStr">
        <is>
          <t>Privileged access controls mature</t>
        </is>
      </c>
      <c r="J13" t="inlineStr">
        <is>
          <t>Maintain</t>
        </is>
      </c>
    </row>
    <row r="14">
      <c r="A14" t="inlineStr">
        <is>
          <t>Qualys</t>
        </is>
      </c>
      <c r="B14" t="inlineStr">
        <is>
          <t>Vulnerability Management</t>
        </is>
      </c>
      <c r="C14" t="inlineStr">
        <is>
          <t>10-Jul-2024</t>
        </is>
      </c>
      <c r="D14" t="inlineStr">
        <is>
          <t>17-Jul-2024</t>
        </is>
      </c>
      <c r="E14" t="inlineStr">
        <is>
          <t>Ikuomola Adedeji</t>
        </is>
      </c>
      <c r="F14" t="n">
        <v>4.1</v>
      </c>
      <c r="G14" t="inlineStr">
        <is>
          <t>Low</t>
        </is>
      </c>
      <c r="H14" t="inlineStr">
        <is>
          <t>10-Jul-2025</t>
        </is>
      </c>
      <c r="I14" t="inlineStr">
        <is>
          <t>Scanning &amp; reporting proven</t>
        </is>
      </c>
      <c r="J14" t="inlineStr">
        <is>
          <t>Maintain</t>
        </is>
      </c>
    </row>
    <row r="15">
      <c r="A15" t="inlineStr">
        <is>
          <t>Tenable</t>
        </is>
      </c>
      <c r="B15" t="inlineStr">
        <is>
          <t>Continuous Monitoring</t>
        </is>
      </c>
      <c r="C15" t="inlineStr">
        <is>
          <t>10-Jul-2024</t>
        </is>
      </c>
      <c r="D15" t="inlineStr">
        <is>
          <t>17-Jul-2024</t>
        </is>
      </c>
      <c r="E15" t="inlineStr">
        <is>
          <t>Ikuomola Adedeji</t>
        </is>
      </c>
      <c r="F15" t="n">
        <v>4</v>
      </c>
      <c r="G15" t="inlineStr">
        <is>
          <t>Low</t>
        </is>
      </c>
      <c r="H15" t="inlineStr">
        <is>
          <t>10-Jul-2025</t>
        </is>
      </c>
      <c r="I15" t="inlineStr">
        <is>
          <t>Continuous vuln mgmt</t>
        </is>
      </c>
      <c r="J15" t="inlineStr">
        <is>
          <t>Maintain</t>
        </is>
      </c>
    </row>
    <row r="16">
      <c r="A16" t="inlineStr">
        <is>
          <t>Proofpoint</t>
        </is>
      </c>
      <c r="B16" t="inlineStr">
        <is>
          <t>Email Security</t>
        </is>
      </c>
      <c r="C16" t="inlineStr">
        <is>
          <t>10-Jul-2024</t>
        </is>
      </c>
      <c r="D16" t="inlineStr">
        <is>
          <t>17-Jul-2024</t>
        </is>
      </c>
      <c r="E16" t="inlineStr">
        <is>
          <t>Ikuomola Adedeji</t>
        </is>
      </c>
      <c r="F16" t="n">
        <v>3.8</v>
      </c>
      <c r="G16" t="inlineStr">
        <is>
          <t>Medium</t>
        </is>
      </c>
      <c r="H16" t="inlineStr">
        <is>
          <t>10-Jul-2025</t>
        </is>
      </c>
      <c r="I16" t="inlineStr">
        <is>
          <t>User awareness dependency</t>
        </is>
      </c>
      <c r="J16" t="inlineStr">
        <is>
          <t>Awareness refresh required</t>
        </is>
      </c>
    </row>
    <row r="17">
      <c r="A17" t="inlineStr">
        <is>
          <t>Stripe</t>
        </is>
      </c>
      <c r="B17" t="inlineStr">
        <is>
          <t>Payment Processing</t>
        </is>
      </c>
      <c r="C17" t="inlineStr">
        <is>
          <t>10-Jul-2024</t>
        </is>
      </c>
      <c r="D17" t="inlineStr">
        <is>
          <t>17-Jul-2024</t>
        </is>
      </c>
      <c r="E17" t="inlineStr">
        <is>
          <t>Ikuomola Adedeji</t>
        </is>
      </c>
      <c r="F17" t="n">
        <v>4.4</v>
      </c>
      <c r="G17" t="inlineStr">
        <is>
          <t>Low</t>
        </is>
      </c>
      <c r="H17" t="inlineStr">
        <is>
          <t>10-Jul-2025</t>
        </is>
      </c>
      <c r="I17" t="inlineStr">
        <is>
          <t>PCI DSS certified</t>
        </is>
      </c>
      <c r="J17" t="inlineStr">
        <is>
          <t>Maintain</t>
        </is>
      </c>
    </row>
    <row r="18">
      <c r="A18" t="inlineStr">
        <is>
          <t>PayPal</t>
        </is>
      </c>
      <c r="B18" t="inlineStr">
        <is>
          <t>Payment Processing</t>
        </is>
      </c>
      <c r="C18" t="inlineStr">
        <is>
          <t>10-Jul-2024</t>
        </is>
      </c>
      <c r="D18" t="inlineStr">
        <is>
          <t>17-Jul-2024</t>
        </is>
      </c>
      <c r="E18" t="inlineStr">
        <is>
          <t>Ikuomola Adedeji</t>
        </is>
      </c>
      <c r="F18" t="n">
        <v>3.7</v>
      </c>
      <c r="G18" t="inlineStr">
        <is>
          <t>Medium</t>
        </is>
      </c>
      <c r="H18" t="inlineStr">
        <is>
          <t>10-Jul-2025</t>
        </is>
      </c>
      <c r="I18" t="inlineStr">
        <is>
          <t>Shared liability model</t>
        </is>
      </c>
      <c r="J18" t="inlineStr">
        <is>
          <t>Monitor</t>
        </is>
      </c>
    </row>
    <row r="19">
      <c r="A19" t="inlineStr">
        <is>
          <t>Visa / Mastercard Merchant Services</t>
        </is>
      </c>
      <c r="B19" t="inlineStr">
        <is>
          <t>Card Payment Processing</t>
        </is>
      </c>
      <c r="C19" t="inlineStr">
        <is>
          <t>10-Jul-2024</t>
        </is>
      </c>
      <c r="D19" t="inlineStr">
        <is>
          <t>17-Jul-2024</t>
        </is>
      </c>
      <c r="E19" t="inlineStr">
        <is>
          <t>Ikuomola Adedeji</t>
        </is>
      </c>
      <c r="F19" t="n">
        <v>4.5</v>
      </c>
      <c r="G19" t="inlineStr">
        <is>
          <t>Low</t>
        </is>
      </c>
      <c r="H19" t="inlineStr">
        <is>
          <t>10-Jul-2025</t>
        </is>
      </c>
      <c r="I19" t="inlineStr">
        <is>
          <t>PCI compliance verified</t>
        </is>
      </c>
      <c r="J19" t="inlineStr">
        <is>
          <t>Maintain</t>
        </is>
      </c>
    </row>
    <row r="20">
      <c r="A20" t="inlineStr">
        <is>
          <t>Xero</t>
        </is>
      </c>
      <c r="B20" t="inlineStr">
        <is>
          <t>Cloud Accounting</t>
        </is>
      </c>
      <c r="C20" t="inlineStr">
        <is>
          <t>10-Jul-2024</t>
        </is>
      </c>
      <c r="D20" t="inlineStr">
        <is>
          <t>17-Jul-2024</t>
        </is>
      </c>
      <c r="E20" t="inlineStr">
        <is>
          <t>Ikuomola Adedeji</t>
        </is>
      </c>
      <c r="F20" t="n">
        <v>3.6</v>
      </c>
      <c r="G20" t="inlineStr">
        <is>
          <t>Medium</t>
        </is>
      </c>
      <c r="H20" t="inlineStr">
        <is>
          <t>10-Jul-2025</t>
        </is>
      </c>
      <c r="I20" t="inlineStr">
        <is>
          <t>BCP evidence partial</t>
        </is>
      </c>
      <c r="J20" t="inlineStr">
        <is>
          <t>Request DR test report</t>
        </is>
      </c>
    </row>
    <row r="21">
      <c r="A21" t="inlineStr">
        <is>
          <t>ADP</t>
        </is>
      </c>
      <c r="B21" t="inlineStr">
        <is>
          <t>Payroll Processing</t>
        </is>
      </c>
      <c r="C21" t="inlineStr">
        <is>
          <t>10-Jul-2024</t>
        </is>
      </c>
      <c r="D21" t="inlineStr">
        <is>
          <t>17-Jul-2024</t>
        </is>
      </c>
      <c r="E21" t="inlineStr">
        <is>
          <t>Ikuomola Adedeji</t>
        </is>
      </c>
      <c r="F21" t="n">
        <v>3.4</v>
      </c>
      <c r="G21" t="inlineStr">
        <is>
          <t>Medium</t>
        </is>
      </c>
      <c r="H21" t="inlineStr">
        <is>
          <t>10-Jul-2025</t>
        </is>
      </c>
      <c r="I21" t="inlineStr">
        <is>
          <t>Missing DR test evidence</t>
        </is>
      </c>
      <c r="J21" t="inlineStr">
        <is>
          <t>Mitigate</t>
        </is>
      </c>
    </row>
    <row r="22">
      <c r="A22" t="inlineStr">
        <is>
          <t>CBRE</t>
        </is>
      </c>
      <c r="B22" t="inlineStr">
        <is>
          <t>Facilities Management</t>
        </is>
      </c>
      <c r="C22" t="inlineStr">
        <is>
          <t>10-Jul-2024</t>
        </is>
      </c>
      <c r="D22" t="inlineStr">
        <is>
          <t>17-Jul-2024</t>
        </is>
      </c>
      <c r="E22" t="inlineStr">
        <is>
          <t>Ikuomola Adedeji</t>
        </is>
      </c>
      <c r="F22" t="n">
        <v>3</v>
      </c>
      <c r="G22" t="inlineStr">
        <is>
          <t>Medium</t>
        </is>
      </c>
      <c r="H22" t="inlineStr">
        <is>
          <t>10-Jul-2025</t>
        </is>
      </c>
      <c r="I22" t="inlineStr">
        <is>
          <t>Physical security ok, cyber light</t>
        </is>
      </c>
      <c r="J22" t="inlineStr">
        <is>
          <t>Monitor</t>
        </is>
      </c>
    </row>
    <row r="23">
      <c r="A23" t="inlineStr">
        <is>
          <t>Iron Mountain</t>
        </is>
      </c>
      <c r="B23" t="inlineStr">
        <is>
          <t>Document Storage &amp; Destruction</t>
        </is>
      </c>
      <c r="C23" t="inlineStr">
        <is>
          <t>10-Jul-2024</t>
        </is>
      </c>
      <c r="D23" t="inlineStr">
        <is>
          <t>17-Jul-2024</t>
        </is>
      </c>
      <c r="E23" t="inlineStr">
        <is>
          <t>Ikuomola Adedeji</t>
        </is>
      </c>
      <c r="F23" t="n">
        <v>4</v>
      </c>
      <c r="G23" t="inlineStr">
        <is>
          <t>Low</t>
        </is>
      </c>
      <c r="H23" t="inlineStr">
        <is>
          <t>10-Jul-2025</t>
        </is>
      </c>
      <c r="I23" t="inlineStr">
        <is>
          <t>Chain-of-custody controls</t>
        </is>
      </c>
      <c r="J23" t="inlineStr">
        <is>
          <t>Maintain</t>
        </is>
      </c>
    </row>
    <row r="24">
      <c r="A24" t="inlineStr">
        <is>
          <t>FedEx</t>
        </is>
      </c>
      <c r="B24" t="inlineStr">
        <is>
          <t>Courier &amp; Logistics</t>
        </is>
      </c>
      <c r="C24" t="inlineStr">
        <is>
          <t>10-Jul-2024</t>
        </is>
      </c>
      <c r="D24" t="inlineStr">
        <is>
          <t>17-Jul-2024</t>
        </is>
      </c>
      <c r="E24" t="inlineStr">
        <is>
          <t>Ikuomola Adedeji</t>
        </is>
      </c>
      <c r="F24" t="n">
        <v>2.8</v>
      </c>
      <c r="G24" t="inlineStr">
        <is>
          <t>High</t>
        </is>
      </c>
      <c r="H24" t="inlineStr">
        <is>
          <t>10-Jul-2025</t>
        </is>
      </c>
      <c r="I24" t="inlineStr">
        <is>
          <t>No formal IR plan</t>
        </is>
      </c>
      <c r="J24" t="inlineStr">
        <is>
          <t>Review contract / limit data</t>
        </is>
      </c>
    </row>
    <row r="25">
      <c r="A25" t="inlineStr">
        <is>
          <t>Staples</t>
        </is>
      </c>
      <c r="B25" t="inlineStr">
        <is>
          <t>Office Supplies</t>
        </is>
      </c>
      <c r="C25" t="inlineStr">
        <is>
          <t>10-Jul-2024</t>
        </is>
      </c>
      <c r="D25" t="inlineStr">
        <is>
          <t>17-Jul-2024</t>
        </is>
      </c>
      <c r="E25" t="inlineStr">
        <is>
          <t>Ikuomola Adedeji</t>
        </is>
      </c>
      <c r="F25" t="n">
        <v>3.2</v>
      </c>
      <c r="G25" t="inlineStr">
        <is>
          <t>Medium</t>
        </is>
      </c>
      <c r="H25" t="inlineStr">
        <is>
          <t>10-Jul-2025</t>
        </is>
      </c>
      <c r="I25" t="inlineStr">
        <is>
          <t>Low data exposure</t>
        </is>
      </c>
      <c r="J25" t="inlineStr">
        <is>
          <t>Accept risk</t>
        </is>
      </c>
    </row>
    <row r="26">
      <c r="A26" t="inlineStr">
        <is>
          <t>ISS Facility Services</t>
        </is>
      </c>
      <c r="B26" t="inlineStr">
        <is>
          <t>Cleaning &amp; Building Services</t>
        </is>
      </c>
      <c r="C26" t="inlineStr">
        <is>
          <t>10-Jul-2024</t>
        </is>
      </c>
      <c r="D26" t="inlineStr">
        <is>
          <t>17-Jul-2024</t>
        </is>
      </c>
      <c r="E26" t="inlineStr">
        <is>
          <t>Ikuomola Adedeji</t>
        </is>
      </c>
      <c r="F26" t="n">
        <v>2.9</v>
      </c>
      <c r="G26" t="inlineStr">
        <is>
          <t>High</t>
        </is>
      </c>
      <c r="H26" t="inlineStr">
        <is>
          <t>10-Jul-2025</t>
        </is>
      </c>
      <c r="I26" t="inlineStr">
        <is>
          <t>Staff vetting maturity low</t>
        </is>
      </c>
      <c r="J26" t="inlineStr">
        <is>
          <t>Add screening clause</t>
        </is>
      </c>
    </row>
    <row r="27">
      <c r="A27" t="inlineStr">
        <is>
          <t>KPMG</t>
        </is>
      </c>
      <c r="B27" t="inlineStr">
        <is>
          <t>External Audit &amp; Advisory</t>
        </is>
      </c>
      <c r="C27" t="inlineStr">
        <is>
          <t>10-Jul-2024</t>
        </is>
      </c>
      <c r="D27" t="inlineStr">
        <is>
          <t>17-Jul-2024</t>
        </is>
      </c>
      <c r="E27" t="inlineStr">
        <is>
          <t>Ikuomola Adedeji</t>
        </is>
      </c>
      <c r="F27" t="n">
        <v>4.2</v>
      </c>
      <c r="G27" t="inlineStr">
        <is>
          <t>Low</t>
        </is>
      </c>
      <c r="H27" t="inlineStr">
        <is>
          <t>10-Jul-2025</t>
        </is>
      </c>
      <c r="I27" t="inlineStr">
        <is>
          <t>NDA/Confidentiality in place</t>
        </is>
      </c>
      <c r="J27" t="inlineStr">
        <is>
          <t>Maintain</t>
        </is>
      </c>
    </row>
    <row r="28">
      <c r="A28" t="inlineStr">
        <is>
          <t>PwC</t>
        </is>
      </c>
      <c r="B28" t="inlineStr">
        <is>
          <t>Tax &amp; Compliance Consulting</t>
        </is>
      </c>
      <c r="C28" t="inlineStr">
        <is>
          <t>10-Jul-2024</t>
        </is>
      </c>
      <c r="D28" t="inlineStr">
        <is>
          <t>17-Jul-2024</t>
        </is>
      </c>
      <c r="E28" t="inlineStr">
        <is>
          <t>Ikuomola Adedeji</t>
        </is>
      </c>
      <c r="F28" t="n">
        <v>4</v>
      </c>
      <c r="G28" t="inlineStr">
        <is>
          <t>Low</t>
        </is>
      </c>
      <c r="H28" t="inlineStr">
        <is>
          <t>10-Jul-2025</t>
        </is>
      </c>
      <c r="I28" t="inlineStr">
        <is>
          <t>Regulated handling of fin. data</t>
        </is>
      </c>
      <c r="J28" t="inlineStr">
        <is>
          <t>Maintain</t>
        </is>
      </c>
    </row>
    <row r="29">
      <c r="A29" t="inlineStr">
        <is>
          <t>Randstad</t>
        </is>
      </c>
      <c r="B29" t="inlineStr">
        <is>
          <t>Recruitment &amp; Staffing</t>
        </is>
      </c>
      <c r="C29" t="inlineStr">
        <is>
          <t>10-Jul-2024</t>
        </is>
      </c>
      <c r="D29" t="inlineStr">
        <is>
          <t>17-Jul-2024</t>
        </is>
      </c>
      <c r="E29" t="inlineStr">
        <is>
          <t>Ikuomola Adedeji</t>
        </is>
      </c>
      <c r="F29" t="n">
        <v>3.3</v>
      </c>
      <c r="G29" t="inlineStr">
        <is>
          <t>Medium</t>
        </is>
      </c>
      <c r="H29" t="inlineStr">
        <is>
          <t>10-Jul-2025</t>
        </is>
      </c>
      <c r="I29" t="inlineStr">
        <is>
          <t>Candidate PII handling risk</t>
        </is>
      </c>
      <c r="J29" t="inlineStr">
        <is>
          <t>Add data retention limits</t>
        </is>
      </c>
    </row>
    <row r="30">
      <c r="A30" t="inlineStr">
        <is>
          <t>Cloudflare</t>
        </is>
      </c>
      <c r="B30" t="inlineStr">
        <is>
          <t>CDN &amp; DDoS Protection</t>
        </is>
      </c>
      <c r="C30" t="inlineStr">
        <is>
          <t>10-Jul-2024</t>
        </is>
      </c>
      <c r="D30" t="inlineStr">
        <is>
          <t>17-Jul-2024</t>
        </is>
      </c>
      <c r="E30" t="inlineStr">
        <is>
          <t>Ikuomola Adedeji</t>
        </is>
      </c>
      <c r="F30" t="n">
        <v>4.5</v>
      </c>
      <c r="G30" t="inlineStr">
        <is>
          <t>Low</t>
        </is>
      </c>
      <c r="H30" t="inlineStr">
        <is>
          <t>10-Jul-2025</t>
        </is>
      </c>
      <c r="I30" t="inlineStr">
        <is>
          <t>DDoS resilience proven</t>
        </is>
      </c>
      <c r="J30" t="inlineStr">
        <is>
          <t>Maintain</t>
        </is>
      </c>
    </row>
    <row r="31">
      <c r="A31" t="inlineStr">
        <is>
          <t>Mailchimp</t>
        </is>
      </c>
      <c r="B31" t="inlineStr">
        <is>
          <t>Marketing Automation</t>
        </is>
      </c>
      <c r="C31" t="inlineStr">
        <is>
          <t>10-Jul-2024</t>
        </is>
      </c>
      <c r="D31" t="inlineStr">
        <is>
          <t>17-Jul-2024</t>
        </is>
      </c>
      <c r="E31" t="inlineStr">
        <is>
          <t>Ikuomola Adedeji</t>
        </is>
      </c>
      <c r="F31" t="n">
        <v>3.1</v>
      </c>
      <c r="G31" t="inlineStr">
        <is>
          <t>Medium</t>
        </is>
      </c>
      <c r="H31" t="inlineStr">
        <is>
          <t>10-Jul-2025</t>
        </is>
      </c>
      <c r="I31" t="inlineStr">
        <is>
          <t>Subscriber PII exposure</t>
        </is>
      </c>
      <c r="J31" t="inlineStr">
        <is>
          <t>Limit data shared</t>
        </is>
      </c>
    </row>
  </sheetData>
  <conditionalFormatting sqref="G2:G31">
    <cfRule type="expression" priority="1" dxfId="0">
      <formula>EXACT(G2,"Low")</formula>
    </cfRule>
    <cfRule type="expression" priority="2" dxfId="1">
      <formula>EXACT(G2,"Medium")</formula>
    </cfRule>
    <cfRule type="expression" priority="3" dxfId="2">
      <formula>EXACT(G2,"High")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Marymia Ltd – DDQ Status Dashboard</t>
        </is>
      </c>
      <c r="B1" t="inlineStr"/>
    </row>
    <row r="2">
      <c r="A2" t="inlineStr"/>
      <c r="B2" t="inlineStr"/>
    </row>
    <row r="3">
      <c r="A3" t="inlineStr">
        <is>
          <t>Total Vendors in Scope</t>
        </is>
      </c>
      <c r="B3">
        <f>COUNTA('Vendor Summary'!A2:A31)</f>
        <v/>
      </c>
    </row>
    <row r="4">
      <c r="A4" s="8" t="inlineStr">
        <is>
          <t>Responses Received</t>
        </is>
      </c>
      <c r="B4" s="9">
        <f>COUNTA('Vendor Summary'!D2:D31)</f>
        <v/>
      </c>
    </row>
    <row r="5">
      <c r="A5" s="8" t="inlineStr">
        <is>
          <t>Response Rate %</t>
        </is>
      </c>
      <c r="B5" s="9">
        <f>IF(B4=0,0,B5/B4)</f>
        <v/>
      </c>
    </row>
    <row r="6">
      <c r="A6" s="8" t="inlineStr">
        <is>
          <t>Average Weighted Score</t>
        </is>
      </c>
      <c r="B6" s="9">
        <f>AVERAGE('Vendor Summary'!F2:F31)</f>
        <v/>
      </c>
    </row>
    <row r="7">
      <c r="A7" s="8" t="inlineStr">
        <is>
          <t>Low Risk Vendors</t>
        </is>
      </c>
      <c r="B7" s="9">
        <f>COUNTIF('Vendor Summary'!G2:G31,"Low")</f>
        <v/>
      </c>
    </row>
    <row r="8">
      <c r="A8" s="8" t="inlineStr">
        <is>
          <t>Medium Risk Vendors</t>
        </is>
      </c>
      <c r="B8" s="9">
        <f>COUNTIF('Vendor Summary'!G2:G31,"Medium")</f>
        <v/>
      </c>
    </row>
    <row r="9">
      <c r="A9" s="8" t="inlineStr">
        <is>
          <t>High Risk Vendors</t>
        </is>
      </c>
      <c r="B9" s="9">
        <f>COUNTIF('Vendor Summary'!G2:G31,"High")</f>
        <v/>
      </c>
    </row>
    <row r="10">
      <c r="A10" s="8" t="inlineStr">
        <is>
          <t>Next Review Cycle</t>
        </is>
      </c>
      <c r="B10" s="9" t="inlineStr">
        <is>
          <t>10-Jul-2025</t>
        </is>
      </c>
    </row>
    <row r="11">
      <c r="A11" s="8" t="n"/>
      <c r="B1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2025-10-24T21:14:08Z</dcterms:created>
  <dcterms:modified xmlns:dcterms="http://purl.org/dc/terms/" xmlns:xsi="http://www.w3.org/2001/XMLSchema-instance" xsi:type="dcterms:W3CDTF">2025-10-24T21:14:08Z</dcterms:modified>
</cp:coreProperties>
</file>