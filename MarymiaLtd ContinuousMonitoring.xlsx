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 Library" sheetId="1" state="visible" r:id="rId1"/>
    <sheet xmlns:r="http://schemas.openxmlformats.org/officeDocument/2006/relationships" name="Monitoring Register" sheetId="2" state="visible" r:id="rId2"/>
    <sheet xmlns:r="http://schemas.openxmlformats.org/officeDocument/2006/relationships" name="Escalation &amp; Runbook" sheetId="3" state="visible" r:id="rId3"/>
    <sheet xmlns:r="http://schemas.openxmlformats.org/officeDocument/2006/relationships" name="Monthly Risk Brief" sheetId="4" state="visible" r:id="rId4"/>
    <sheet xmlns:r="http://schemas.openxmlformats.org/officeDocument/2006/relationships" name="Version 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16" customWidth="1" min="4" max="4"/>
    <col width="20" customWidth="1" min="5" max="5"/>
    <col width="20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KRI</t>
        </is>
      </c>
      <c r="B1" s="1" t="inlineStr">
        <is>
          <t>Definition</t>
        </is>
      </c>
      <c r="C1" s="1" t="inlineStr">
        <is>
          <t>Data Source</t>
        </is>
      </c>
      <c r="D1" s="1" t="inlineStr">
        <is>
          <t>Tier (Default)</t>
        </is>
      </c>
      <c r="E1" s="1" t="inlineStr">
        <is>
          <t>Amber Threshold (Text)</t>
        </is>
      </c>
      <c r="F1" s="1" t="inlineStr">
        <is>
          <t>Red Threshold (Text)</t>
        </is>
      </c>
      <c r="G1" s="1" t="inlineStr">
        <is>
          <t>Default Severity (Auto)</t>
        </is>
      </c>
      <c r="H1" s="1" t="inlineStr">
        <is>
          <t>Owner</t>
        </is>
      </c>
      <c r="I1" s="1" t="inlineStr">
        <is>
          <t>Action (Playbook)</t>
        </is>
      </c>
    </row>
    <row r="2">
      <c r="A2" t="inlineStr">
        <is>
          <t>Cert Status</t>
        </is>
      </c>
      <c r="B2" t="inlineStr">
        <is>
          <t>ISO/SOC2 certificate validity period</t>
        </is>
      </c>
      <c r="C2" t="inlineStr">
        <is>
          <t>Certificate / Registry</t>
        </is>
      </c>
      <c r="D2" t="inlineStr">
        <is>
          <t>Tier 1-2</t>
        </is>
      </c>
      <c r="E2" t="inlineStr">
        <is>
          <t>&lt;90 days</t>
        </is>
      </c>
      <c r="F2" t="inlineStr">
        <is>
          <t>Expired</t>
        </is>
      </c>
      <c r="G2" t="inlineStr">
        <is>
          <t>Amber</t>
        </is>
      </c>
      <c r="H2" t="inlineStr">
        <is>
          <t>Compliance</t>
        </is>
      </c>
      <c r="I2" t="inlineStr">
        <is>
          <t>Request updated cert/bridge letter</t>
        </is>
      </c>
    </row>
    <row r="3">
      <c r="A3" t="inlineStr">
        <is>
          <t>Breach/Incident Signal</t>
        </is>
      </c>
      <c r="B3" t="inlineStr">
        <is>
          <t>Public or vendor-reported incident</t>
        </is>
      </c>
      <c r="C3" t="inlineStr">
        <is>
          <t>Vendor Notice / News</t>
        </is>
      </c>
      <c r="D3" t="inlineStr">
        <is>
          <t>Tier 1</t>
        </is>
      </c>
      <c r="E3" t="inlineStr">
        <is>
          <t>Suspected</t>
        </is>
      </c>
      <c r="F3" t="inlineStr">
        <is>
          <t>Confirmed</t>
        </is>
      </c>
      <c r="G3" t="inlineStr">
        <is>
          <t>Red</t>
        </is>
      </c>
      <c r="H3" t="inlineStr">
        <is>
          <t>Legal</t>
        </is>
      </c>
      <c r="I3" t="inlineStr">
        <is>
          <t>Trigger incident playbook + exec update</t>
        </is>
      </c>
    </row>
    <row r="4">
      <c r="A4" t="inlineStr">
        <is>
          <t>BCP/DR Testing</t>
        </is>
      </c>
      <c r="B4" t="inlineStr">
        <is>
          <t>Annual DR test evidence and results</t>
        </is>
      </c>
      <c r="C4" t="inlineStr">
        <is>
          <t>DR Report</t>
        </is>
      </c>
      <c r="D4" t="inlineStr">
        <is>
          <t>Tier 1</t>
        </is>
      </c>
      <c r="E4" t="inlineStr">
        <is>
          <t>&gt;12 months</t>
        </is>
      </c>
      <c r="F4" t="inlineStr">
        <is>
          <t>&gt;18 months or failed</t>
        </is>
      </c>
      <c r="G4" t="inlineStr">
        <is>
          <t>Amber</t>
        </is>
      </c>
      <c r="H4" t="inlineStr">
        <is>
          <t>Risk</t>
        </is>
      </c>
      <c r="I4" t="inlineStr">
        <is>
          <t>Request test + results; verify RTO/RPO</t>
        </is>
      </c>
    </row>
    <row r="5">
      <c r="A5" t="inlineStr">
        <is>
          <t>Subprocessor Changes</t>
        </is>
      </c>
      <c r="B5" t="inlineStr">
        <is>
          <t>New or changed sub-processors</t>
        </is>
      </c>
      <c r="C5" t="inlineStr">
        <is>
          <t>Vendor Register</t>
        </is>
      </c>
      <c r="D5" t="inlineStr">
        <is>
          <t>Tier 1-2</t>
        </is>
      </c>
      <c r="E5" t="inlineStr">
        <is>
          <t>Notice &lt;30d</t>
        </is>
      </c>
      <c r="F5" t="inlineStr">
        <is>
          <t>No notice</t>
        </is>
      </c>
      <c r="G5" t="inlineStr">
        <is>
          <t>Amber</t>
        </is>
      </c>
      <c r="H5" t="inlineStr">
        <is>
          <t>Compliance</t>
        </is>
      </c>
      <c r="I5" t="inlineStr">
        <is>
          <t>Enforce notice + DPA update</t>
        </is>
      </c>
    </row>
    <row r="6">
      <c r="A6" t="inlineStr">
        <is>
          <t>MFA Coverage</t>
        </is>
      </c>
      <c r="B6" t="inlineStr">
        <is>
          <t>Privileged account MFA coverage %</t>
        </is>
      </c>
      <c r="C6" t="inlineStr">
        <is>
          <t>Screenshot/Report</t>
        </is>
      </c>
      <c r="D6" t="inlineStr">
        <is>
          <t>Tier 3</t>
        </is>
      </c>
      <c r="E6" t="inlineStr">
        <is>
          <t>&lt;95%</t>
        </is>
      </c>
      <c r="F6" t="inlineStr">
        <is>
          <t>&lt;85%</t>
        </is>
      </c>
      <c r="G6" t="inlineStr">
        <is>
          <t>Green</t>
        </is>
      </c>
      <c r="H6" t="inlineStr">
        <is>
          <t>IT Security</t>
        </is>
      </c>
      <c r="I6" t="inlineStr">
        <is>
          <t>Action plan; re-test in 30 days</t>
        </is>
      </c>
    </row>
    <row r="7">
      <c r="A7" t="inlineStr">
        <is>
          <t>Vuln Mgmt SLA</t>
        </is>
      </c>
      <c r="B7" t="inlineStr">
        <is>
          <t>Time to remediate critical vulns</t>
        </is>
      </c>
      <c r="C7" t="inlineStr">
        <is>
          <t>Attestation/Report</t>
        </is>
      </c>
      <c r="D7" t="inlineStr">
        <is>
          <t>Tier 1-2</t>
        </is>
      </c>
      <c r="E7" t="inlineStr">
        <is>
          <t>&gt;30 days</t>
        </is>
      </c>
      <c r="F7" t="inlineStr">
        <is>
          <t>&gt;60 days</t>
        </is>
      </c>
      <c r="G7" t="inlineStr">
        <is>
          <t>Amber</t>
        </is>
      </c>
      <c r="H7" t="inlineStr">
        <is>
          <t>Sec Eng</t>
        </is>
      </c>
      <c r="I7" t="inlineStr">
        <is>
          <t>Remediation plan; contract credits</t>
        </is>
      </c>
    </row>
    <row r="8">
      <c r="A8" t="inlineStr">
        <is>
          <t>Support SLA Breach</t>
        </is>
      </c>
      <c r="B8" t="inlineStr">
        <is>
          <t>Security ticket SLA breaches</t>
        </is>
      </c>
      <c r="C8" t="inlineStr">
        <is>
          <t>Ticket Metrics</t>
        </is>
      </c>
      <c r="D8" t="inlineStr">
        <is>
          <t>Tier 2-3</t>
        </is>
      </c>
      <c r="E8" t="inlineStr">
        <is>
          <t>1/quarter</t>
        </is>
      </c>
      <c r="F8" t="inlineStr">
        <is>
          <t>&gt;=2/quarter</t>
        </is>
      </c>
      <c r="G8" t="inlineStr">
        <is>
          <t>Green</t>
        </is>
      </c>
      <c r="H8" t="inlineStr">
        <is>
          <t>Vendor Mgr</t>
        </is>
      </c>
      <c r="I8" t="inlineStr">
        <is>
          <t>Service review + corrective actions</t>
        </is>
      </c>
    </row>
    <row r="9">
      <c r="A9" t="inlineStr">
        <is>
          <t>Privacy Requests SLA</t>
        </is>
      </c>
      <c r="B9" t="inlineStr">
        <is>
          <t>DSAR/erasure turnaround time</t>
        </is>
      </c>
      <c r="C9" t="inlineStr">
        <is>
          <t>Vendor Log</t>
        </is>
      </c>
      <c r="D9" t="inlineStr">
        <is>
          <t>Tier 1-2</t>
        </is>
      </c>
      <c r="E9" t="inlineStr">
        <is>
          <t>&gt;25 days</t>
        </is>
      </c>
      <c r="F9" t="inlineStr">
        <is>
          <t>&gt;30 days</t>
        </is>
      </c>
      <c r="G9" t="inlineStr">
        <is>
          <t>Green</t>
        </is>
      </c>
      <c r="H9" t="inlineStr">
        <is>
          <t>DPO</t>
        </is>
      </c>
      <c r="I9" t="inlineStr">
        <is>
          <t>Escalate to DPO; tighten workflow</t>
        </is>
      </c>
    </row>
    <row r="10">
      <c r="A10" t="inlineStr">
        <is>
          <t>Logging &amp; SIEM</t>
        </is>
      </c>
      <c r="B10" t="inlineStr">
        <is>
          <t>Audit logging and monitoring coverage</t>
        </is>
      </c>
      <c r="C10" t="inlineStr">
        <is>
          <t>Attestation</t>
        </is>
      </c>
      <c r="D10" t="inlineStr">
        <is>
          <t>Tier 1</t>
        </is>
      </c>
      <c r="E10" t="inlineStr">
        <is>
          <t>Partial coverage</t>
        </is>
      </c>
      <c r="F10" t="inlineStr">
        <is>
          <t>No central logging</t>
        </is>
      </c>
      <c r="G10" t="inlineStr">
        <is>
          <t>Amber</t>
        </is>
      </c>
      <c r="H10" t="inlineStr">
        <is>
          <t>Sec Eng</t>
        </is>
      </c>
      <c r="I10" t="inlineStr">
        <is>
          <t>Implement SIEM / improve coverage</t>
        </is>
      </c>
    </row>
    <row r="11">
      <c r="A11" t="inlineStr">
        <is>
          <t>Encryption at Rest</t>
        </is>
      </c>
      <c r="B11" t="inlineStr">
        <is>
          <t>Encryption for stored customer data</t>
        </is>
      </c>
      <c r="C11" t="inlineStr">
        <is>
          <t>Policy/Evidence</t>
        </is>
      </c>
      <c r="D11" t="inlineStr">
        <is>
          <t>Tier 1</t>
        </is>
      </c>
      <c r="E11" t="inlineStr">
        <is>
          <t>Legacy systems</t>
        </is>
      </c>
      <c r="F11" t="inlineStr">
        <is>
          <t>No encryption</t>
        </is>
      </c>
      <c r="G11" t="inlineStr">
        <is>
          <t>Red</t>
        </is>
      </c>
      <c r="H11" t="inlineStr">
        <is>
          <t>Compliance</t>
        </is>
      </c>
      <c r="I11" t="inlineStr">
        <is>
          <t>Contractual requirement + technical plan</t>
        </is>
      </c>
    </row>
  </sheetData>
  <conditionalFormatting sqref="G2:G11">
    <cfRule type="expression" priority="1" dxfId="0">
      <formula>EXACT(G2,"Green")</formula>
    </cfRule>
    <cfRule type="expression" priority="2" dxfId="1">
      <formula>EXACT(G2,"Amber")</formula>
    </cfRule>
    <cfRule type="expression" priority="3" dxfId="2">
      <formula>EXACT(G2,"Red")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6" customWidth="1" min="4" max="4"/>
    <col width="20" customWidth="1" min="5" max="5"/>
    <col width="28" customWidth="1" min="6" max="6"/>
    <col width="18" customWidth="1" min="7" max="7"/>
    <col width="30" customWidth="1" min="8" max="8"/>
    <col width="18" customWidth="1" min="9" max="9"/>
    <col width="14" customWidth="1" min="10" max="10"/>
    <col width="14" customWidth="1" min="11" max="11"/>
  </cols>
  <sheetData>
    <row r="1">
      <c r="A1" s="2" t="inlineStr">
        <is>
          <t>Date</t>
        </is>
      </c>
      <c r="B1" s="2" t="inlineStr">
        <is>
          <t>Vendor</t>
        </is>
      </c>
      <c r="C1" s="2" t="inlineStr">
        <is>
          <t>Tier</t>
        </is>
      </c>
      <c r="D1" s="2" t="inlineStr">
        <is>
          <t>Event Type</t>
        </is>
      </c>
      <c r="E1" s="2" t="inlineStr">
        <is>
          <t>KRI Impacted</t>
        </is>
      </c>
      <c r="F1" s="2" t="inlineStr">
        <is>
          <t>Evidence Location</t>
        </is>
      </c>
      <c r="G1" s="2" t="inlineStr">
        <is>
          <t>Severity (Auto from KRI)</t>
        </is>
      </c>
      <c r="H1" s="2" t="inlineStr">
        <is>
          <t>Action</t>
        </is>
      </c>
      <c r="I1" s="2" t="inlineStr">
        <is>
          <t>Owner</t>
        </is>
      </c>
      <c r="J1" s="2" t="inlineStr">
        <is>
          <t>Due Date</t>
        </is>
      </c>
      <c r="K1" s="2" t="inlineStr">
        <is>
          <t>Status</t>
        </is>
      </c>
    </row>
    <row r="2">
      <c r="A2" t="inlineStr">
        <is>
          <t>10-Jul-2024</t>
        </is>
      </c>
      <c r="B2" t="inlineStr">
        <is>
          <t>AWS Cloud Services</t>
        </is>
      </c>
      <c r="C2" t="inlineStr">
        <is>
          <t>Tier 1</t>
        </is>
      </c>
      <c r="D2" t="inlineStr">
        <is>
          <t>DR Test review</t>
        </is>
      </c>
      <c r="E2" t="inlineStr">
        <is>
          <t>BCP/DR Testing</t>
        </is>
      </c>
      <c r="F2" t="inlineStr">
        <is>
          <t>Evidence/AWS/DR2024</t>
        </is>
      </c>
      <c r="G2">
        <f>IFERROR(INDEX('KRI Library'!$G:$G, MATCH(E2, 'KRI Library'!$A:$A, 0)), "Green")</f>
        <v/>
      </c>
      <c r="H2" t="inlineStr">
        <is>
          <t>Record for monthly summary</t>
        </is>
      </c>
      <c r="I2" t="inlineStr">
        <is>
          <t>Risk Analyst</t>
        </is>
      </c>
      <c r="J2" t="inlineStr"/>
      <c r="K2" t="inlineStr">
        <is>
          <t>Closed</t>
        </is>
      </c>
    </row>
    <row r="3">
      <c r="A3" t="inlineStr">
        <is>
          <t>12-Jul-2024</t>
        </is>
      </c>
      <c r="B3" t="inlineStr">
        <is>
          <t>Zoom Communications</t>
        </is>
      </c>
      <c r="C3" t="inlineStr">
        <is>
          <t>Tier 2</t>
        </is>
      </c>
      <c r="D3" t="inlineStr">
        <is>
          <t>Certificate expiry in 60d</t>
        </is>
      </c>
      <c r="E3" t="inlineStr">
        <is>
          <t>Cert Status</t>
        </is>
      </c>
      <c r="F3" t="inlineStr">
        <is>
          <t>VendorDocs/ZoomCert</t>
        </is>
      </c>
      <c r="G3">
        <f>IFERROR(INDEX('KRI Library'!$G:$G, MATCH(E3, 'KRI Library'!$A:$A, 0)), "Green")</f>
        <v/>
      </c>
      <c r="H3" t="inlineStr">
        <is>
          <t>Request bridge letter</t>
        </is>
      </c>
      <c r="I3" t="inlineStr">
        <is>
          <t>Compliance</t>
        </is>
      </c>
      <c r="J3" t="inlineStr">
        <is>
          <t>20-Jul-2024</t>
        </is>
      </c>
      <c r="K3" t="inlineStr">
        <is>
          <t>Open</t>
        </is>
      </c>
    </row>
    <row r="4">
      <c r="A4" t="inlineStr">
        <is>
          <t>14-Jul-2024</t>
        </is>
      </c>
      <c r="B4" t="inlineStr">
        <is>
          <t>DHL Logistics</t>
        </is>
      </c>
      <c r="C4" t="inlineStr">
        <is>
          <t>Tier 1</t>
        </is>
      </c>
      <c r="D4" t="inlineStr">
        <is>
          <t>Security incident (minor)</t>
        </is>
      </c>
      <c r="E4" t="inlineStr">
        <is>
          <t>Breach/Incident Signal</t>
        </is>
      </c>
      <c r="F4" t="inlineStr">
        <is>
          <t>News/DHLIncident</t>
        </is>
      </c>
      <c r="G4">
        <f>IFERROR(INDEX('KRI Library'!$G:$G, MATCH(E4, 'KRI Library'!$A:$A, 0)), "Green")</f>
        <v/>
      </c>
      <c r="H4" t="inlineStr">
        <is>
          <t>Trigger breach playbook + legal review</t>
        </is>
      </c>
      <c r="I4" t="inlineStr">
        <is>
          <t>Legal</t>
        </is>
      </c>
      <c r="J4" t="inlineStr">
        <is>
          <t>17-Jul-2024</t>
        </is>
      </c>
      <c r="K4" t="inlineStr">
        <is>
          <t>In Progress</t>
        </is>
      </c>
    </row>
    <row r="5">
      <c r="A5" t="inlineStr">
        <is>
          <t>16-Jul-2024</t>
        </is>
      </c>
      <c r="B5" t="inlineStr">
        <is>
          <t>FedEx Delivery</t>
        </is>
      </c>
      <c r="C5" t="inlineStr">
        <is>
          <t>Tier 2</t>
        </is>
      </c>
      <c r="D5" t="inlineStr">
        <is>
          <t>Audit rights missing</t>
        </is>
      </c>
      <c r="E5" t="inlineStr">
        <is>
          <t>Subprocessor Changes</t>
        </is>
      </c>
      <c r="F5" t="inlineStr">
        <is>
          <t>Contracts/FedEx2024</t>
        </is>
      </c>
      <c r="G5">
        <f>IFERROR(INDEX('KRI Library'!$G:$G, MATCH(E5, 'KRI Library'!$A:$A, 0)), "Green")</f>
        <v/>
      </c>
      <c r="H5" t="inlineStr">
        <is>
          <t>Legal addendum update</t>
        </is>
      </c>
      <c r="I5" t="inlineStr">
        <is>
          <t>Procurement</t>
        </is>
      </c>
      <c r="J5" t="inlineStr">
        <is>
          <t>25-Jul-2024</t>
        </is>
      </c>
      <c r="K5" t="inlineStr">
        <is>
          <t>In Progress</t>
        </is>
      </c>
    </row>
    <row r="6">
      <c r="A6" t="inlineStr">
        <is>
          <t>18-Jul-2024</t>
        </is>
      </c>
      <c r="B6" t="inlineStr">
        <is>
          <t>QuickBooks (Intuit)</t>
        </is>
      </c>
      <c r="C6" t="inlineStr">
        <is>
          <t>Tier 3</t>
        </is>
      </c>
      <c r="D6" t="inlineStr">
        <is>
          <t>Routine KRI review</t>
        </is>
      </c>
      <c r="E6" t="inlineStr">
        <is>
          <t>MFA Coverage</t>
        </is>
      </c>
      <c r="F6" t="inlineStr">
        <is>
          <t>Logs/Quickbooks</t>
        </is>
      </c>
      <c r="G6">
        <f>IFERROR(INDEX('KRI Library'!$G:$G, MATCH(E6, 'KRI Library'!$A:$A, 0)), "Green")</f>
        <v/>
      </c>
      <c r="H6" t="inlineStr">
        <is>
          <t>No action required</t>
        </is>
      </c>
      <c r="I6" t="inlineStr">
        <is>
          <t>Risk Analyst</t>
        </is>
      </c>
      <c r="J6" t="inlineStr"/>
      <c r="K6" t="inlineStr">
        <is>
          <t>Closed</t>
        </is>
      </c>
    </row>
  </sheetData>
  <conditionalFormatting sqref="G2:G6">
    <cfRule type="expression" priority="1" dxfId="0">
      <formula>EXACT(G2,"Green")</formula>
    </cfRule>
    <cfRule type="expression" priority="2" dxfId="1">
      <formula>EXACT(G2,"Amber")</formula>
    </cfRule>
    <cfRule type="expression" priority="3" dxfId="2">
      <formula>EXACT(G2,"Red")</formula>
    </cfRule>
  </conditionalFormatting>
  <dataValidations count="2">
    <dataValidation sqref="K2:K1048576" showErrorMessage="1" showInputMessage="1" allowBlank="1" type="list">
      <formula1>"Open,In Progress,Closed"</formula1>
    </dataValidation>
    <dataValidation sqref="G2:G1048576" showErrorMessage="1" showInputMessage="1" allowBlank="1" type="list">
      <formula1>"Green,Amber,Red"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6" customWidth="1" min="4" max="4"/>
    <col width="14" customWidth="1" min="5" max="5"/>
    <col width="40" customWidth="1" min="6" max="6"/>
  </cols>
  <sheetData>
    <row r="1">
      <c r="A1" s="3" t="inlineStr">
        <is>
          <t>Severity</t>
        </is>
      </c>
      <c r="B1" s="3" t="inlineStr">
        <is>
          <t>Response Time</t>
        </is>
      </c>
      <c r="C1" s="3" t="inlineStr">
        <is>
          <t>Notification Path</t>
        </is>
      </c>
      <c r="D1" s="3" t="inlineStr">
        <is>
          <t>Responsible Stakeholders</t>
        </is>
      </c>
      <c r="E1" s="3" t="inlineStr">
        <is>
          <t>Escalation Level</t>
        </is>
      </c>
      <c r="F1" s="3" t="inlineStr">
        <is>
          <t>Required Action</t>
        </is>
      </c>
    </row>
    <row r="2">
      <c r="A2" t="inlineStr">
        <is>
          <t>Green</t>
        </is>
      </c>
      <c r="B2" t="inlineStr">
        <is>
          <t>Track only</t>
        </is>
      </c>
      <c r="C2" t="inlineStr">
        <is>
          <t>TPRM Analyst</t>
        </is>
      </c>
      <c r="D2" t="inlineStr">
        <is>
          <t>Risk Team</t>
        </is>
      </c>
      <c r="E2" t="inlineStr">
        <is>
          <t>None</t>
        </is>
      </c>
      <c r="F2" t="inlineStr">
        <is>
          <t>Log event in monthly brief</t>
        </is>
      </c>
    </row>
    <row r="3">
      <c r="A3" t="inlineStr">
        <is>
          <t>Amber</t>
        </is>
      </c>
      <c r="B3" t="inlineStr">
        <is>
          <t>48 hours</t>
        </is>
      </c>
      <c r="C3" t="inlineStr">
        <is>
          <t>Compliance + Manager</t>
        </is>
      </c>
      <c r="D3" t="inlineStr">
        <is>
          <t>Risk + Compliance</t>
        </is>
      </c>
      <c r="E3" t="inlineStr">
        <is>
          <t>Level 1</t>
        </is>
      </c>
      <c r="F3" t="inlineStr">
        <is>
          <t>Corrective action plan + follow-up</t>
        </is>
      </c>
    </row>
    <row r="4">
      <c r="A4" t="inlineStr">
        <is>
          <t>Red</t>
        </is>
      </c>
      <c r="B4" t="inlineStr">
        <is>
          <t>24 hours</t>
        </is>
      </c>
      <c r="C4" t="inlineStr">
        <is>
          <t>Risk Committee + Exec</t>
        </is>
      </c>
      <c r="D4" t="inlineStr">
        <is>
          <t>Legal + Exec + Risk</t>
        </is>
      </c>
      <c r="E4" t="inlineStr">
        <is>
          <t>Level 2</t>
        </is>
      </c>
      <c r="F4" t="inlineStr">
        <is>
          <t>Incident report, containment, daily updates</t>
        </is>
      </c>
    </row>
  </sheetData>
  <conditionalFormatting sqref="A2:A4">
    <cfRule type="expression" priority="1" dxfId="0">
      <formula>EXACT(A2,"Green")</formula>
    </cfRule>
    <cfRule type="expression" priority="2" dxfId="1">
      <formula>EXACT(A2,"Amber")</formula>
    </cfRule>
    <cfRule type="expression" priority="3" dxfId="2">
      <formula>EXACT(A2,"Red")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Comments</t>
        </is>
      </c>
    </row>
    <row r="2">
      <c r="A2" t="inlineStr">
        <is>
          <t>Open Actions</t>
        </is>
      </c>
      <c r="B2">
        <f>COUNTIFS('Monitoring Register'!K:K,"Open")</f>
        <v/>
      </c>
      <c r="C2" t="inlineStr">
        <is>
          <t>Across all vendors</t>
        </is>
      </c>
    </row>
    <row r="3">
      <c r="A3" t="inlineStr">
        <is>
          <t>Red Alerts</t>
        </is>
      </c>
      <c r="B3">
        <f>COUNTIFS('Monitoring Register'!G:G,"Red")</f>
        <v/>
      </c>
      <c r="C3" t="inlineStr">
        <is>
          <t>Triggered KRIs requiring exec visibility</t>
        </is>
      </c>
    </row>
    <row r="4">
      <c r="A4" t="inlineStr">
        <is>
          <t>Amber Alerts</t>
        </is>
      </c>
      <c r="B4">
        <f>COUNTIFS('Monitoring Register'!G:G,"Amber")</f>
        <v/>
      </c>
      <c r="C4" t="inlineStr">
        <is>
          <t>KRIs requiring owner action</t>
        </is>
      </c>
    </row>
    <row r="5">
      <c r="A5" t="inlineStr">
        <is>
          <t>Green Checks</t>
        </is>
      </c>
      <c r="B5">
        <f>COUNTIFS('Monitoring Register'!G:G,"Green")</f>
        <v/>
      </c>
      <c r="C5" t="inlineStr">
        <is>
          <t>Routine monitoring</t>
        </is>
      </c>
    </row>
    <row r="6">
      <c r="A6" t="inlineStr">
        <is>
          <t>Vendors in Scope</t>
        </is>
      </c>
      <c r="B6" t="n">
        <v>5</v>
      </c>
      <c r="C6" t="inlineStr">
        <is>
          <t>AWS, Zoom, DHL, FedEx, QuickBooks</t>
        </is>
      </c>
    </row>
    <row r="7">
      <c r="A7" t="inlineStr">
        <is>
          <t>Expiring Certificates (90d)</t>
        </is>
      </c>
      <c r="B7" t="inlineStr">
        <is>
          <t>Zoom</t>
        </is>
      </c>
      <c r="C7" t="inlineStr">
        <is>
          <t>From Monitoring Register events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4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Document Title</t>
        </is>
      </c>
      <c r="B2" t="inlineStr">
        <is>
          <t>Marymia Ltd – Continuous Monitoring &amp; KRI Oversight Workbook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Prepared by</t>
        </is>
      </c>
      <c r="B4" t="inlineStr">
        <is>
          <t>Ikuomola Adedeji – Third-Party Risk Analyst</t>
        </is>
      </c>
    </row>
    <row r="5">
      <c r="A5" t="inlineStr">
        <is>
          <t>Reviewed by</t>
        </is>
      </c>
      <c r="B5" t="inlineStr">
        <is>
          <t>Compliance Manager</t>
        </is>
      </c>
    </row>
    <row r="6">
      <c r="A6" t="inlineStr">
        <is>
          <t>Approved by</t>
        </is>
      </c>
      <c r="B6" t="inlineStr">
        <is>
          <t>Risk Committee</t>
        </is>
      </c>
    </row>
    <row r="7">
      <c r="A7" t="inlineStr">
        <is>
          <t>Date</t>
        </is>
      </c>
      <c r="B7" t="inlineStr">
        <is>
          <t>25-Jul-2024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2025-11-05T12:50:13Z</dcterms:created>
  <dcterms:modified xmlns:dcterms="http://purl.org/dc/terms/" xmlns:xsi="http://www.w3.org/2001/XMLSchema-instance" xsi:type="dcterms:W3CDTF">2025-11-05T12:50:13Z</dcterms:modified>
</cp:coreProperties>
</file>