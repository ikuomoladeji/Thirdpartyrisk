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Treatment Plan" sheetId="1" state="visible" r:id="rId1"/>
    <sheet xmlns:r="http://schemas.openxmlformats.org/officeDocument/2006/relationships" name="Vendor Risk Register" sheetId="2" state="visible" r:id="rId2"/>
    <sheet xmlns:r="http://schemas.openxmlformats.org/officeDocument/2006/relationships" name="Management Summary" sheetId="3" state="visible" r:id="rId3"/>
    <sheet xmlns:r="http://schemas.openxmlformats.org/officeDocument/2006/relationships" name="Version Contr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FFD700"/>
        <bgColor rgb="00FFD700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20" customWidth="1" min="4" max="4"/>
    <col width="42" customWidth="1" min="5" max="5"/>
    <col width="22" customWidth="1" min="6" max="6"/>
    <col width="16" customWidth="1" min="7" max="7"/>
    <col width="16" customWidth="1" min="8" max="8"/>
  </cols>
  <sheetData>
    <row r="1">
      <c r="A1" s="1" t="inlineStr">
        <is>
          <t>Vendor</t>
        </is>
      </c>
      <c r="B1" s="1" t="inlineStr">
        <is>
          <t>Risk Rating</t>
        </is>
      </c>
      <c r="C1" s="1" t="inlineStr">
        <is>
          <t>Key Issue</t>
        </is>
      </c>
      <c r="D1" s="1" t="inlineStr">
        <is>
          <t>Treatment Option</t>
        </is>
      </c>
      <c r="E1" s="1" t="inlineStr">
        <is>
          <t>Mitigation Actions</t>
        </is>
      </c>
      <c r="F1" s="1" t="inlineStr">
        <is>
          <t>Owner</t>
        </is>
      </c>
      <c r="G1" s="1" t="inlineStr">
        <is>
          <t>Target Date</t>
        </is>
      </c>
      <c r="H1" s="1" t="inlineStr">
        <is>
          <t>Status</t>
        </is>
      </c>
    </row>
    <row r="2">
      <c r="A2" t="inlineStr">
        <is>
          <t>DHL Logistics</t>
        </is>
      </c>
      <c r="B2" t="inlineStr">
        <is>
          <t>High</t>
        </is>
      </c>
      <c r="C2" t="inlineStr">
        <is>
          <t>No incident response plan, no audit rights</t>
        </is>
      </c>
      <c r="D2" t="inlineStr">
        <is>
          <t>Mitigate / Transfer</t>
        </is>
      </c>
      <c r="E2" t="inlineStr">
        <is>
          <t>Require IR plan and insert audit clause into contract</t>
        </is>
      </c>
      <c r="F2" t="inlineStr">
        <is>
          <t>Legal / Compliance</t>
        </is>
      </c>
      <c r="G2" t="inlineStr">
        <is>
          <t>30-Jul-2024</t>
        </is>
      </c>
      <c r="H2" t="inlineStr">
        <is>
          <t>In progress</t>
        </is>
      </c>
    </row>
    <row r="3">
      <c r="A3" t="inlineStr">
        <is>
          <t>Zoom Communications</t>
        </is>
      </c>
      <c r="B3" t="inlineStr">
        <is>
          <t>Medium</t>
        </is>
      </c>
      <c r="C3" t="inlineStr">
        <is>
          <t>Expired ISO 27001 certificate</t>
        </is>
      </c>
      <c r="D3" t="inlineStr">
        <is>
          <t>Mitigate</t>
        </is>
      </c>
      <c r="E3" t="inlineStr">
        <is>
          <t>Request updated certificate and subprocessor list</t>
        </is>
      </c>
      <c r="F3" t="inlineStr">
        <is>
          <t>Risk Analyst</t>
        </is>
      </c>
      <c r="G3" t="inlineStr">
        <is>
          <t>25-Jul-2024</t>
        </is>
      </c>
      <c r="H3" t="inlineStr">
        <is>
          <t>Open</t>
        </is>
      </c>
    </row>
    <row r="4">
      <c r="A4" t="inlineStr">
        <is>
          <t>FedEx Delivery</t>
        </is>
      </c>
      <c r="B4" t="inlineStr">
        <is>
          <t>Medium</t>
        </is>
      </c>
      <c r="C4" t="inlineStr">
        <is>
          <t>No breach notification clause</t>
        </is>
      </c>
      <c r="D4" t="inlineStr">
        <is>
          <t>Mitigate / Transfer</t>
        </is>
      </c>
      <c r="E4" t="inlineStr">
        <is>
          <t>Add 72-hour breach clause and DPA annex</t>
        </is>
      </c>
      <c r="F4" t="inlineStr">
        <is>
          <t>Legal</t>
        </is>
      </c>
      <c r="G4" t="inlineStr">
        <is>
          <t>30-Jul-2024</t>
        </is>
      </c>
      <c r="H4" t="inlineStr">
        <is>
          <t>Open</t>
        </is>
      </c>
    </row>
    <row r="5">
      <c r="A5" t="inlineStr">
        <is>
          <t>AWS Cloud Services</t>
        </is>
      </c>
      <c r="B5" t="inlineStr">
        <is>
          <t>Low</t>
        </is>
      </c>
      <c r="C5" t="inlineStr">
        <is>
          <t>No material gaps</t>
        </is>
      </c>
      <c r="D5" t="inlineStr">
        <is>
          <t>Accept</t>
        </is>
      </c>
      <c r="E5" t="inlineStr">
        <is>
          <t>Maintain annual review cadence</t>
        </is>
      </c>
      <c r="F5" t="inlineStr">
        <is>
          <t>Compliance</t>
        </is>
      </c>
      <c r="G5" t="inlineStr">
        <is>
          <t>31-Dec-2024</t>
        </is>
      </c>
      <c r="H5" t="inlineStr">
        <is>
          <t>Closed</t>
        </is>
      </c>
    </row>
    <row r="6">
      <c r="A6" t="inlineStr">
        <is>
          <t>QuickBooks (Intuit)</t>
        </is>
      </c>
      <c r="B6" t="inlineStr">
        <is>
          <t>Low</t>
        </is>
      </c>
      <c r="C6" t="inlineStr">
        <is>
          <t>Minor BCP clause gaps</t>
        </is>
      </c>
      <c r="D6" t="inlineStr">
        <is>
          <t>Mitigate</t>
        </is>
      </c>
      <c r="E6" t="inlineStr">
        <is>
          <t>Request DR test summary and RTO/RPO evidence</t>
        </is>
      </c>
      <c r="F6" t="inlineStr">
        <is>
          <t>Procurement</t>
        </is>
      </c>
      <c r="G6" t="inlineStr">
        <is>
          <t>01-Aug-2024</t>
        </is>
      </c>
      <c r="H6" t="inlineStr">
        <is>
          <t>In progress</t>
        </is>
      </c>
    </row>
  </sheetData>
  <conditionalFormatting sqref="B2:B6">
    <cfRule type="expression" priority="1" dxfId="0">
      <formula>EXACT(B2,"High")</formula>
    </cfRule>
    <cfRule type="expression" priority="2" dxfId="1">
      <formula>EXACT(B2,"Medium")</formula>
    </cfRule>
    <cfRule type="expression" priority="3" dxfId="2">
      <formula>EXACT(B2,"Low")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44" customWidth="1" min="3" max="3"/>
    <col width="18" customWidth="1" min="4" max="4"/>
    <col width="16" customWidth="1" min="5" max="5"/>
    <col width="22" customWidth="1" min="6" max="6"/>
    <col width="20" customWidth="1" min="7" max="7"/>
    <col width="16" customWidth="1" min="8" max="8"/>
    <col width="16" customWidth="1" min="9" max="9"/>
  </cols>
  <sheetData>
    <row r="1">
      <c r="A1" s="2" t="inlineStr">
        <is>
          <t>Risk ID</t>
        </is>
      </c>
      <c r="B1" s="2" t="inlineStr">
        <is>
          <t>Vendor</t>
        </is>
      </c>
      <c r="C1" s="2" t="inlineStr">
        <is>
          <t>Description</t>
        </is>
      </c>
      <c r="D1" s="2" t="inlineStr">
        <is>
          <t>Likelihood (1-3)</t>
        </is>
      </c>
      <c r="E1" s="2" t="inlineStr">
        <is>
          <t>Impact (1-3)</t>
        </is>
      </c>
      <c r="F1" s="2" t="inlineStr">
        <is>
          <t>Risk Score (=Likelihood*Impact)</t>
        </is>
      </c>
      <c r="G1" s="2" t="inlineStr">
        <is>
          <t>Risk Level (Auto)</t>
        </is>
      </c>
      <c r="H1" s="2" t="inlineStr">
        <is>
          <t>Action</t>
        </is>
      </c>
      <c r="I1" s="2" t="inlineStr">
        <is>
          <t>Status</t>
        </is>
      </c>
    </row>
    <row r="2">
      <c r="A2" t="inlineStr">
        <is>
          <t>R01</t>
        </is>
      </c>
      <c r="B2" t="inlineStr">
        <is>
          <t>DHL Logistics</t>
        </is>
      </c>
      <c r="C2" t="inlineStr">
        <is>
          <t>Missing incident response plan / no audit rights</t>
        </is>
      </c>
      <c r="D2" t="n">
        <v>3</v>
      </c>
      <c r="E2" t="n">
        <v>3</v>
      </c>
      <c r="F2">
        <f>D2*E2</f>
        <v/>
      </c>
      <c r="G2">
        <f>IF(F2&gt;=8,"High",IF(F2&gt;=4,"Medium","Low"))</f>
        <v/>
      </c>
      <c r="H2" t="inlineStr">
        <is>
          <t>Mitigate</t>
        </is>
      </c>
      <c r="I2" t="inlineStr">
        <is>
          <t>In progress</t>
        </is>
      </c>
    </row>
    <row r="3">
      <c r="A3" t="inlineStr">
        <is>
          <t>R02</t>
        </is>
      </c>
      <c r="B3" t="inlineStr">
        <is>
          <t>Zoom Communications</t>
        </is>
      </c>
      <c r="C3" t="inlineStr">
        <is>
          <t>Outdated ISO certificate</t>
        </is>
      </c>
      <c r="D3" t="n">
        <v>2</v>
      </c>
      <c r="E3" t="n">
        <v>3</v>
      </c>
      <c r="F3">
        <f>D3*E3</f>
        <v/>
      </c>
      <c r="G3">
        <f>IF(F3&gt;=8,"High",IF(F3&gt;=4,"Medium","Low"))</f>
        <v/>
      </c>
      <c r="H3" t="inlineStr">
        <is>
          <t>Mitigate</t>
        </is>
      </c>
      <c r="I3" t="inlineStr">
        <is>
          <t>Open</t>
        </is>
      </c>
    </row>
    <row r="4">
      <c r="A4" t="inlineStr">
        <is>
          <t>R03</t>
        </is>
      </c>
      <c r="B4" t="inlineStr">
        <is>
          <t>FedEx Delivery</t>
        </is>
      </c>
      <c r="C4" t="inlineStr">
        <is>
          <t>No data breach notification clause / no DPA</t>
        </is>
      </c>
      <c r="D4" t="n">
        <v>2</v>
      </c>
      <c r="E4" t="n">
        <v>4</v>
      </c>
      <c r="F4">
        <f>D4*E4</f>
        <v/>
      </c>
      <c r="G4">
        <f>IF(F4&gt;=8,"High",IF(F4&gt;=4,"Medium","Low"))</f>
        <v/>
      </c>
      <c r="H4" t="inlineStr">
        <is>
          <t>Transfer</t>
        </is>
      </c>
      <c r="I4" t="inlineStr">
        <is>
          <t>Open</t>
        </is>
      </c>
    </row>
    <row r="5">
      <c r="A5" t="inlineStr">
        <is>
          <t>R04</t>
        </is>
      </c>
      <c r="B5" t="inlineStr">
        <is>
          <t>QuickBooks (Intuit)</t>
        </is>
      </c>
      <c r="C5" t="inlineStr">
        <is>
          <t>Weak BCP evidence</t>
        </is>
      </c>
      <c r="D5" t="n">
        <v>1</v>
      </c>
      <c r="E5" t="n">
        <v>3</v>
      </c>
      <c r="F5">
        <f>D5*E5</f>
        <v/>
      </c>
      <c r="G5">
        <f>IF(F5&gt;=8,"High",IF(F5&gt;=4,"Medium","Low"))</f>
        <v/>
      </c>
      <c r="H5" t="inlineStr">
        <is>
          <t>Mitigate</t>
        </is>
      </c>
      <c r="I5" t="inlineStr">
        <is>
          <t>In progress</t>
        </is>
      </c>
    </row>
    <row r="6">
      <c r="A6" t="inlineStr">
        <is>
          <t>R05</t>
        </is>
      </c>
      <c r="B6" t="inlineStr">
        <is>
          <t>AWS Cloud Services</t>
        </is>
      </c>
      <c r="C6" t="inlineStr">
        <is>
          <t>Minor internal process delay</t>
        </is>
      </c>
      <c r="D6" t="n">
        <v>1</v>
      </c>
      <c r="E6" t="n">
        <v>2</v>
      </c>
      <c r="F6">
        <f>D6*E6</f>
        <v/>
      </c>
      <c r="G6">
        <f>IF(F6&gt;=8,"High",IF(F6&gt;=4,"Medium","Low"))</f>
        <v/>
      </c>
      <c r="H6" t="inlineStr">
        <is>
          <t>Accept</t>
        </is>
      </c>
      <c r="I6" t="inlineStr">
        <is>
          <t>Closed</t>
        </is>
      </c>
    </row>
  </sheetData>
  <conditionalFormatting sqref="G2:G6">
    <cfRule type="expression" priority="1" dxfId="0">
      <formula>EXACT(G2,"High")</formula>
    </cfRule>
    <cfRule type="expression" priority="2" dxfId="1">
      <formula>EXACT(G2,"Medium")</formula>
    </cfRule>
    <cfRule type="expression" priority="3" dxfId="2">
      <formula>EXACT(G2,"Low")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70" customWidth="1" min="3" max="3"/>
  </cols>
  <sheetData>
    <row r="1">
      <c r="A1" s="3" t="inlineStr">
        <is>
          <t>Metric</t>
        </is>
      </c>
      <c r="B1" s="3" t="inlineStr">
        <is>
          <t>Value</t>
        </is>
      </c>
      <c r="C1" s="3" t="inlineStr">
        <is>
          <t>Notes</t>
        </is>
      </c>
    </row>
    <row r="2">
      <c r="A2" t="inlineStr">
        <is>
          <t>Vendors Reviewed</t>
        </is>
      </c>
      <c r="B2" t="n">
        <v>30</v>
      </c>
      <c r="C2" t="inlineStr">
        <is>
          <t>30 in-scope third parties under active contract</t>
        </is>
      </c>
    </row>
    <row r="3">
      <c r="A3" t="inlineStr">
        <is>
          <t>High-Risk Vendors</t>
        </is>
      </c>
      <c r="B3" t="n">
        <v>2</v>
      </c>
      <c r="C3" t="inlineStr">
        <is>
          <t>DHL Logistics, FedEx Delivery</t>
        </is>
      </c>
    </row>
    <row r="4">
      <c r="A4" t="inlineStr">
        <is>
          <t>Medium-Risk Vendors</t>
        </is>
      </c>
      <c r="B4" t="n">
        <v>3</v>
      </c>
      <c r="C4" t="inlineStr">
        <is>
          <t>Zoom, QuickBooks, (monitor FedEx post-remediation)</t>
        </is>
      </c>
    </row>
    <row r="5">
      <c r="A5" t="inlineStr">
        <is>
          <t>Low-Risk Vendors</t>
        </is>
      </c>
      <c r="B5" t="n">
        <v>25</v>
      </c>
      <c r="C5" t="inlineStr">
        <is>
          <t>AWS, etc. All have sufficient controls</t>
        </is>
      </c>
    </row>
    <row r="6">
      <c r="A6" t="inlineStr">
        <is>
          <t>Treatment Completion %</t>
        </is>
      </c>
      <c r="B6" t="inlineStr">
        <is>
          <t>80%</t>
        </is>
      </c>
      <c r="C6" t="inlineStr">
        <is>
          <t>24/30 vendors remediated or formally accepted</t>
        </is>
      </c>
    </row>
    <row r="7">
      <c r="A7" t="inlineStr">
        <is>
          <t>Next Portfolio Review Date</t>
        </is>
      </c>
      <c r="B7" t="inlineStr">
        <is>
          <t>20-Jan-2025</t>
        </is>
      </c>
      <c r="C7" t="inlineStr">
        <is>
          <t>6-month recurring review cycle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24" customWidth="1" min="4" max="4"/>
    <col width="24" customWidth="1" min="5" max="5"/>
    <col width="42" customWidth="1" min="6" max="6"/>
  </cols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Prepared By</t>
        </is>
      </c>
      <c r="D1" s="1" t="inlineStr">
        <is>
          <t>Reviewed By</t>
        </is>
      </c>
      <c r="E1" s="1" t="inlineStr">
        <is>
          <t>Approved By</t>
        </is>
      </c>
      <c r="F1" s="1" t="inlineStr">
        <is>
          <t>Notes</t>
        </is>
      </c>
    </row>
    <row r="2">
      <c r="A2" t="inlineStr">
        <is>
          <t>1.0</t>
        </is>
      </c>
      <c r="B2" t="inlineStr">
        <is>
          <t>20-Jul-2024</t>
        </is>
      </c>
      <c r="C2" t="inlineStr">
        <is>
          <t>Ikuomola Adedeji – Third-Party Risk Analyst</t>
        </is>
      </c>
      <c r="D2" t="inlineStr">
        <is>
          <t>Compliance Manager</t>
        </is>
      </c>
      <c r="E2" t="inlineStr">
        <is>
          <t>Risk Committee</t>
        </is>
      </c>
      <c r="F2" t="inlineStr">
        <is>
          <t>Initial release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2025-10-28T12:02:27Z</dcterms:created>
  <dcterms:modified xmlns:dcterms="http://purl.org/dc/terms/" xmlns:xsi="http://www.w3.org/2001/XMLSchema-instance" xsi:type="dcterms:W3CDTF">2025-10-28T12:02:27Z</dcterms:modified>
</cp:coreProperties>
</file>