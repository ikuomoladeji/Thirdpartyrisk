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 Summary &amp; Timeline" sheetId="1" state="visible" r:id="rId1"/>
    <sheet xmlns:r="http://schemas.openxmlformats.org/officeDocument/2006/relationships" name="Decision Log" sheetId="2" state="visible" r:id="rId2"/>
    <sheet xmlns:r="http://schemas.openxmlformats.org/officeDocument/2006/relationships" name="Evidence Register" sheetId="3" state="visible" r:id="rId3"/>
    <sheet xmlns:r="http://schemas.openxmlformats.org/officeDocument/2006/relationships" name="Post-Incident Report" sheetId="4" state="visible" r:id="rId4"/>
    <sheet xmlns:r="http://schemas.openxmlformats.org/officeDocument/2006/relationships" name="Lessons Learned &amp; Actions" sheetId="5" state="visible" r:id="rId5"/>
    <sheet xmlns:r="http://schemas.openxmlformats.org/officeDocument/2006/relationships" name="Version Contro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8" customWidth="1" min="3" max="3"/>
    <col width="42" customWidth="1" min="4" max="4"/>
    <col width="18" customWidth="1" min="5" max="5"/>
    <col width="42" customWidth="1" min="6" max="6"/>
  </cols>
  <sheetData>
    <row r="1">
      <c r="A1" s="1" t="inlineStr">
        <is>
          <t>Marymia Ltd – Third-Party Incident (Tabletop)</t>
        </is>
      </c>
    </row>
    <row r="2">
      <c r="A2" t="inlineStr">
        <is>
          <t>Field</t>
        </is>
      </c>
      <c r="B2" t="inlineStr">
        <is>
          <t>Value</t>
        </is>
      </c>
      <c r="C2" t="inlineStr">
        <is>
          <t>Field</t>
        </is>
      </c>
      <c r="D2" t="inlineStr">
        <is>
          <t>Value</t>
        </is>
      </c>
      <c r="E2" t="inlineStr">
        <is>
          <t>Field</t>
        </is>
      </c>
      <c r="F2" t="inlineStr">
        <is>
          <t>Value</t>
        </is>
      </c>
    </row>
    <row r="3">
      <c r="A3" t="inlineStr">
        <is>
          <t>Incident ID</t>
        </is>
      </c>
      <c r="B3" t="inlineStr">
        <is>
          <t>IR-TPRM-2024-007</t>
        </is>
      </c>
      <c r="C3" t="inlineStr">
        <is>
          <t>Vendor</t>
        </is>
      </c>
      <c r="D3">
        <f>'[MarymiaLtd_Module6_ContinuousMonitoring.xlsx]Monitoring Register'!B3</f>
        <v/>
      </c>
      <c r="E3" t="inlineStr">
        <is>
          <t>Tier</t>
        </is>
      </c>
      <c r="F3">
        <f>'[MarymiaLtd_Module6_ContinuousMonitoring.xlsx]Monitoring Register'!C3</f>
        <v/>
      </c>
    </row>
    <row r="4">
      <c r="A4" t="inlineStr">
        <is>
          <t>Service</t>
        </is>
      </c>
      <c r="B4" t="inlineStr">
        <is>
          <t>Video Conferencing &amp; Cloud Recordings</t>
        </is>
      </c>
      <c r="C4" t="inlineStr">
        <is>
          <t>KRI Impacted</t>
        </is>
      </c>
      <c r="D4">
        <f>'[MarymiaLtd_Module6_ContinuousMonitoring.xlsx]Monitoring Register'!E3</f>
        <v/>
      </c>
      <c r="E4" t="inlineStr">
        <is>
          <t>Detection Date</t>
        </is>
      </c>
      <c r="F4">
        <f>'[MarymiaLtd_Module6_ContinuousMonitoring.xlsx]Monitoring Register'!A3</f>
        <v/>
      </c>
    </row>
    <row r="5">
      <c r="A5" t="inlineStr">
        <is>
          <t>Severity (Linked)</t>
        </is>
      </c>
      <c r="B5">
        <f>'[MarymiaLtd_Module6_ContinuousMonitoring.xlsx]Monitoring Register'!G3</f>
        <v/>
      </c>
      <c r="C5" t="inlineStr">
        <is>
          <t>Status</t>
        </is>
      </c>
      <c r="D5" t="inlineStr"/>
      <c r="E5" t="inlineStr">
        <is>
          <t>Owner</t>
        </is>
      </c>
      <c r="F5" t="inlineStr">
        <is>
          <t>Ikuomola Adedeji</t>
        </is>
      </c>
    </row>
    <row r="6">
      <c r="A6" t="inlineStr">
        <is>
          <t>Root Cause</t>
        </is>
      </c>
      <c r="B6" t="inlineStr">
        <is>
          <t>Vendor API permissions misconfigured during maintenance</t>
        </is>
      </c>
      <c r="C6" t="inlineStr">
        <is>
          <t>Data Impact</t>
        </is>
      </c>
      <c r="D6" t="inlineStr">
        <is>
          <t>HR meeting titles and 15 recordings (possible PII)</t>
        </is>
      </c>
      <c r="E6" t="inlineStr">
        <is>
          <t>ICO Consideration</t>
        </is>
      </c>
      <c r="F6" t="inlineStr">
        <is>
          <t>Yes - Draft notification prepared</t>
        </is>
      </c>
    </row>
    <row r="7">
      <c r="A7" t="inlineStr">
        <is>
          <t>Description</t>
        </is>
      </c>
      <c r="B7" t="inlineStr">
        <is>
          <t>API misconfiguration exposed meeting metadata and recording links for some enterprise tenants.</t>
        </is>
      </c>
      <c r="C7" t="inlineStr"/>
      <c r="D7" t="inlineStr"/>
      <c r="E7" t="inlineStr"/>
      <c r="F7" t="inlineStr"/>
    </row>
    <row r="9">
      <c r="A9" s="2" t="inlineStr">
        <is>
          <t>Time</t>
        </is>
      </c>
      <c r="B9" s="2" t="inlineStr">
        <is>
          <t>Event</t>
        </is>
      </c>
      <c r="C9" s="2" t="inlineStr">
        <is>
          <t>Owner</t>
        </is>
      </c>
      <c r="D9" s="2" t="inlineStr">
        <is>
          <t>Evidence</t>
        </is>
      </c>
      <c r="E9" s="2" t="inlineStr">
        <is>
          <t>Status</t>
        </is>
      </c>
      <c r="F9" s="2" t="n"/>
    </row>
    <row r="10">
      <c r="A10" t="inlineStr">
        <is>
          <t>09:15</t>
        </is>
      </c>
      <c r="B10" t="inlineStr">
        <is>
          <t>News report detected via Monitoring</t>
        </is>
      </c>
      <c r="C10" t="inlineStr">
        <is>
          <t>TPRM Analyst</t>
        </is>
      </c>
      <c r="D10" t="inlineStr">
        <is>
          <t>News/Zoom_Leak</t>
        </is>
      </c>
      <c r="E10" t="inlineStr">
        <is>
          <t>Done</t>
        </is>
      </c>
    </row>
    <row r="11">
      <c r="A11" t="inlineStr">
        <is>
          <t>09:45</t>
        </is>
      </c>
      <c r="B11" t="inlineStr">
        <is>
          <t>Vendor advisory received</t>
        </is>
      </c>
      <c r="C11" t="inlineStr">
        <is>
          <t>Compliance</t>
        </is>
      </c>
      <c r="D11" t="inlineStr">
        <is>
          <t>Advisory.pdf</t>
        </is>
      </c>
      <c r="E11" t="inlineStr">
        <is>
          <t>Done</t>
        </is>
      </c>
    </row>
    <row r="12">
      <c r="A12" t="inlineStr">
        <is>
          <t>10:20</t>
        </is>
      </c>
      <c r="B12" t="inlineStr">
        <is>
          <t>HR recordings identified</t>
        </is>
      </c>
      <c r="C12" t="inlineStr">
        <is>
          <t>DPO</t>
        </is>
      </c>
      <c r="D12" t="inlineStr">
        <is>
          <t>HR_Recording_List.xlsx</t>
        </is>
      </c>
      <c r="E12" t="inlineStr">
        <is>
          <t>In Progress</t>
        </is>
      </c>
    </row>
    <row r="13">
      <c r="A13" t="inlineStr">
        <is>
          <t>10:45</t>
        </is>
      </c>
      <c r="B13" t="inlineStr">
        <is>
          <t>ICO assessment started</t>
        </is>
      </c>
      <c r="C13" t="inlineStr">
        <is>
          <t>Legal</t>
        </is>
      </c>
      <c r="D13" t="inlineStr">
        <is>
          <t>ICO_Draft.docx</t>
        </is>
      </c>
      <c r="E13" t="inlineStr">
        <is>
          <t>Open</t>
        </is>
      </c>
    </row>
  </sheetData>
  <mergeCells count="1">
    <mergeCell ref="A1:F1"/>
  </mergeCells>
  <conditionalFormatting sqref="B2:B10">
    <cfRule type="expression" priority="1" dxfId="0">
      <formula>EXACT(B2,"Green")</formula>
    </cfRule>
    <cfRule type="expression" priority="2" dxfId="1">
      <formula>EXACT(B2,"Amber")</formula>
    </cfRule>
    <cfRule type="expression" priority="3" dxfId="2">
      <formula>EXACT(B2,"Red")</formula>
    </cfRule>
  </conditionalFormatting>
  <dataValidations count="2">
    <dataValidation sqref="D4:D10" showErrorMessage="1" showInputMessage="1" allowBlank="1" type="list">
      <formula1>"Open,In Progress,Closed"</formula1>
    </dataValidation>
    <dataValidation sqref="E11:E13" showErrorMessage="1" showInputMessage="1" allowBlank="1" type="list">
      <formula1>"Open,In Progress,Done"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38" customWidth="1" min="3" max="3"/>
    <col width="16" customWidth="1" min="4" max="4"/>
    <col width="26" customWidth="1" min="5" max="5"/>
    <col width="10" customWidth="1" min="6" max="6"/>
    <col width="14" customWidth="1" min="7" max="7"/>
    <col width="14" customWidth="1" min="8" max="8"/>
  </cols>
  <sheetData>
    <row r="1">
      <c r="A1" t="inlineStr">
        <is>
          <t>Time</t>
        </is>
      </c>
      <c r="B1" t="inlineStr">
        <is>
          <t>Decision</t>
        </is>
      </c>
      <c r="C1" t="inlineStr">
        <is>
          <t>Rationale</t>
        </is>
      </c>
      <c r="D1" t="inlineStr">
        <is>
          <t>Owner</t>
        </is>
      </c>
      <c r="E1" t="inlineStr">
        <is>
          <t>Evidence</t>
        </is>
      </c>
      <c r="F1" t="inlineStr">
        <is>
          <t>Severity</t>
        </is>
      </c>
      <c r="G1" t="inlineStr">
        <is>
          <t>Status</t>
        </is>
      </c>
      <c r="H1" t="inlineStr">
        <is>
          <t>Urgency (Auto)</t>
        </is>
      </c>
    </row>
    <row r="2">
      <c r="A2" t="inlineStr">
        <is>
          <t>09:40</t>
        </is>
      </c>
      <c r="B2" t="inlineStr">
        <is>
          <t>Treat as suspected personal data breach</t>
        </is>
      </c>
      <c r="C2" t="inlineStr">
        <is>
          <t>HR recordings may include PII</t>
        </is>
      </c>
      <c r="D2" t="inlineStr">
        <is>
          <t>DPO</t>
        </is>
      </c>
      <c r="E2" t="inlineStr">
        <is>
          <t>HR evidence path</t>
        </is>
      </c>
      <c r="F2" t="inlineStr">
        <is>
          <t>Red</t>
        </is>
      </c>
      <c r="G2" t="inlineStr">
        <is>
          <t>Closed</t>
        </is>
      </c>
      <c r="H2">
        <f>IF(F2="Red","Critical",IF(F2="Amber","Monitor","Note"))</f>
        <v/>
      </c>
    </row>
    <row r="3">
      <c r="A3" t="inlineStr">
        <is>
          <t>10:10</t>
        </is>
      </c>
      <c r="B3" t="inlineStr">
        <is>
          <t>Apply emergency sharing restrictions</t>
        </is>
      </c>
      <c r="C3" t="inlineStr">
        <is>
          <t>Prevent recurrence while vendor fixes</t>
        </is>
      </c>
      <c r="D3" t="inlineStr">
        <is>
          <t>IT Sec</t>
        </is>
      </c>
      <c r="E3" t="inlineStr">
        <is>
          <t>Policy screenshot</t>
        </is>
      </c>
      <c r="F3" t="inlineStr">
        <is>
          <t>Amber</t>
        </is>
      </c>
      <c r="G3" t="inlineStr">
        <is>
          <t>In Progress</t>
        </is>
      </c>
      <c r="H3">
        <f>IF(F3="Red","Critical",IF(F3="Amber","Monitor","Note"))</f>
        <v/>
      </c>
    </row>
    <row r="4">
      <c r="A4" t="inlineStr">
        <is>
          <t>10:50</t>
        </is>
      </c>
      <c r="B4" t="inlineStr">
        <is>
          <t>Prepare ICO notification draft</t>
        </is>
      </c>
      <c r="C4" t="inlineStr">
        <is>
          <t>GDPR Art.33 72-hour window</t>
        </is>
      </c>
      <c r="D4" t="inlineStr">
        <is>
          <t>Legal</t>
        </is>
      </c>
      <c r="E4" t="inlineStr">
        <is>
          <t>ICO template</t>
        </is>
      </c>
      <c r="F4" t="inlineStr">
        <is>
          <t>Red</t>
        </is>
      </c>
      <c r="G4" t="inlineStr">
        <is>
          <t>Open</t>
        </is>
      </c>
      <c r="H4">
        <f>IF(F4="Red","Critical",IF(F4="Amber","Monitor","Note"))</f>
        <v/>
      </c>
    </row>
  </sheetData>
  <conditionalFormatting sqref="F2:F4">
    <cfRule type="expression" priority="1" dxfId="2">
      <formula>EXACT(F2,"Red")</formula>
    </cfRule>
    <cfRule type="expression" priority="2" dxfId="1">
      <formula>EXACT(F2,"Amber")</formula>
    </cfRule>
    <cfRule type="expression" priority="3" dxfId="0">
      <formula>EXACT(F2,"Green")</formula>
    </cfRule>
  </conditionalFormatting>
  <dataValidations count="2">
    <dataValidation sqref="F2:F1048576" showErrorMessage="1" showInputMessage="1" allowBlank="1" type="list">
      <formula1>"Green,Amber,Red"</formula1>
    </dataValidation>
    <dataValidation sqref="G2:G1048576" showErrorMessage="1" showInputMessage="1" allowBlank="1" type="list">
      <formula1>"Open,In Progress,Closed"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26" customWidth="1" min="8" max="8"/>
    <col width="14" customWidth="1" min="9" max="9"/>
  </cols>
  <sheetData>
    <row r="1">
      <c r="A1" t="inlineStr">
        <is>
          <t>Evidence Name</t>
        </is>
      </c>
      <c r="B1" t="inlineStr">
        <is>
          <t>Type</t>
        </is>
      </c>
      <c r="C1" t="inlineStr">
        <is>
          <t>Source</t>
        </is>
      </c>
      <c r="D1" t="inlineStr">
        <is>
          <t>Verified (Y/N)</t>
        </is>
      </c>
      <c r="E1" t="inlineStr">
        <is>
          <t>Linked Risk ID</t>
        </is>
      </c>
      <c r="F1" t="inlineStr">
        <is>
          <t>Verification Date</t>
        </is>
      </c>
      <c r="G1" t="inlineStr">
        <is>
          <t>Reviewer</t>
        </is>
      </c>
      <c r="H1" t="inlineStr">
        <is>
          <t>Comments</t>
        </is>
      </c>
      <c r="I1" t="inlineStr">
        <is>
          <t>Severity (Auto)</t>
        </is>
      </c>
    </row>
    <row r="2">
      <c r="A2" t="inlineStr">
        <is>
          <t>Vendor Advisory</t>
        </is>
      </c>
      <c r="B2" t="inlineStr">
        <is>
          <t>Email</t>
        </is>
      </c>
      <c r="C2" t="inlineStr">
        <is>
          <t>Vendor</t>
        </is>
      </c>
      <c r="D2" t="inlineStr">
        <is>
          <t>Yes</t>
        </is>
      </c>
      <c r="E2" t="inlineStr">
        <is>
          <t>R-TPRM-006</t>
        </is>
      </c>
      <c r="F2" t="inlineStr">
        <is>
          <t>23-Jul-2024</t>
        </is>
      </c>
      <c r="G2" t="inlineStr">
        <is>
          <t>Compliance</t>
        </is>
      </c>
      <c r="H2" t="inlineStr">
        <is>
          <t>Verified official</t>
        </is>
      </c>
      <c r="I2">
        <f>IF(D2="Yes","Green",IF(D2="No","Amber","Red"))</f>
        <v/>
      </c>
    </row>
    <row r="3">
      <c r="A3" t="inlineStr">
        <is>
          <t>HR Recording List</t>
        </is>
      </c>
      <c r="B3" t="inlineStr">
        <is>
          <t>Internal</t>
        </is>
      </c>
      <c r="C3" t="inlineStr">
        <is>
          <t>HR</t>
        </is>
      </c>
      <c r="D3" t="inlineStr">
        <is>
          <t>Yes</t>
        </is>
      </c>
      <c r="E3" t="inlineStr">
        <is>
          <t>R-TPRM-007</t>
        </is>
      </c>
      <c r="F3" t="inlineStr">
        <is>
          <t>23-Jul-2024</t>
        </is>
      </c>
      <c r="G3" t="inlineStr">
        <is>
          <t>DPO</t>
        </is>
      </c>
      <c r="H3" t="inlineStr">
        <is>
          <t>Confirmed affected</t>
        </is>
      </c>
      <c r="I3">
        <f>IF(D3="Yes","Green",IF(D3="No","Amber","Red"))</f>
        <v/>
      </c>
    </row>
    <row r="4">
      <c r="A4" t="inlineStr">
        <is>
          <t>ICO Draft</t>
        </is>
      </c>
      <c r="B4" t="inlineStr">
        <is>
          <t>Document</t>
        </is>
      </c>
      <c r="C4" t="inlineStr">
        <is>
          <t>Legal</t>
        </is>
      </c>
      <c r="D4" t="inlineStr">
        <is>
          <t>No</t>
        </is>
      </c>
      <c r="E4" t="inlineStr">
        <is>
          <t>R-TPRM-008</t>
        </is>
      </c>
      <c r="F4" t="inlineStr"/>
      <c r="G4" t="inlineStr">
        <is>
          <t>Legal</t>
        </is>
      </c>
      <c r="H4" t="inlineStr">
        <is>
          <t>Awaiting review</t>
        </is>
      </c>
      <c r="I4">
        <f>IF(D4="Yes","Green",IF(D4="No","Amber","Red"))</f>
        <v/>
      </c>
    </row>
  </sheetData>
  <conditionalFormatting sqref="I2:I4">
    <cfRule type="expression" priority="1" dxfId="0">
      <formula>EXACT(I2,"Green")</formula>
    </cfRule>
    <cfRule type="expression" priority="2" dxfId="1">
      <formula>EXACT(I2,"Amber")</formula>
    </cfRule>
    <cfRule type="expression" priority="3" dxfId="2">
      <formula>EXACT(I2,"Red")</formula>
    </cfRule>
  </conditionalFormatting>
  <dataValidations count="1">
    <dataValidation sqref="D2:D1048576" showErrorMessage="1" showInputMessage="1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3" t="inlineStr">
        <is>
          <t>Section</t>
        </is>
      </c>
      <c r="B1" t="inlineStr">
        <is>
          <t>Content (Editable)</t>
        </is>
      </c>
    </row>
    <row r="2">
      <c r="A2" t="inlineStr">
        <is>
          <t>Executive Summary</t>
        </is>
      </c>
      <c r="B2" t="inlineStr">
        <is>
          <t>What happened, impact, status.</t>
        </is>
      </c>
    </row>
    <row r="3">
      <c r="A3" t="inlineStr">
        <is>
          <t>Root Cause</t>
        </is>
      </c>
      <c r="B3" t="inlineStr">
        <is>
          <t>Vendor API misconfiguration; exposure path summary.</t>
        </is>
      </c>
    </row>
    <row r="4">
      <c r="A4" t="inlineStr">
        <is>
          <t>Impact Assessment</t>
        </is>
      </c>
      <c r="B4" t="inlineStr">
        <is>
          <t>Data types, volume, roles, regulatory angle (GDPR Art.33/34).</t>
        </is>
      </c>
    </row>
    <row r="5">
      <c r="A5" t="inlineStr">
        <is>
          <t>Timeline</t>
        </is>
      </c>
      <c r="B5" t="inlineStr">
        <is>
          <t>Summarise key events from Incident Summary sheet.</t>
        </is>
      </c>
    </row>
    <row r="6">
      <c r="A6" t="inlineStr">
        <is>
          <t>Controls &amp; Containment</t>
        </is>
      </c>
      <c r="B6" t="inlineStr">
        <is>
          <t>Emergency sharing policy; DLP updates; SSO enforcement.</t>
        </is>
      </c>
    </row>
    <row r="7">
      <c r="A7" t="inlineStr">
        <is>
          <t>Vendor Performance</t>
        </is>
      </c>
      <c r="B7" t="inlineStr">
        <is>
          <t>Timeliness, quality of comms, evidence supplied.</t>
        </is>
      </c>
    </row>
    <row r="8">
      <c r="A8" t="inlineStr">
        <is>
          <t>Actions &amp; Owners</t>
        </is>
      </c>
      <c r="B8" t="inlineStr">
        <is>
          <t>See Lessons Learned sheet.</t>
        </is>
      </c>
    </row>
    <row r="9">
      <c r="A9" t="inlineStr">
        <is>
          <t>Lessons Learned</t>
        </is>
      </c>
      <c r="B9" t="inlineStr">
        <is>
          <t>Control + contract improvements to prevent recurrence.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0" customWidth="1" min="5" max="5"/>
    <col width="16" customWidth="1" min="6" max="6"/>
    <col width="16" customWidth="1" min="7" max="7"/>
  </cols>
  <sheetData>
    <row r="1">
      <c r="A1" t="inlineStr">
        <is>
          <t>Action</t>
        </is>
      </c>
      <c r="B1" t="inlineStr">
        <is>
          <t>Owner</t>
        </is>
      </c>
      <c r="C1" t="inlineStr">
        <is>
          <t>Due</t>
        </is>
      </c>
      <c r="D1" t="inlineStr">
        <is>
          <t>Status</t>
        </is>
      </c>
      <c r="E1" t="inlineStr">
        <is>
          <t>Severity</t>
        </is>
      </c>
      <c r="F1" t="inlineStr">
        <is>
          <t>Dependency</t>
        </is>
      </c>
      <c r="G1" t="inlineStr">
        <is>
          <t>On Track? (Auto)</t>
        </is>
      </c>
    </row>
    <row r="2">
      <c r="A2" t="inlineStr">
        <is>
          <t>Add 24h breach clause to vendor contract</t>
        </is>
      </c>
      <c r="B2" t="inlineStr">
        <is>
          <t>Legal</t>
        </is>
      </c>
      <c r="C2" t="inlineStr">
        <is>
          <t>31-Jul-2024</t>
        </is>
      </c>
      <c r="D2" t="inlineStr">
        <is>
          <t>In Progress</t>
        </is>
      </c>
      <c r="E2" t="inlineStr">
        <is>
          <t>Amber</t>
        </is>
      </c>
      <c r="F2" t="inlineStr">
        <is>
          <t>Contract</t>
        </is>
      </c>
      <c r="G2">
        <f>IF(OR(D2="Closed",TODAY()&lt;=C2),"On Track","Overdue")</f>
        <v/>
      </c>
    </row>
    <row r="3">
      <c r="A3" t="inlineStr">
        <is>
          <t>Force SSO for all meetings</t>
        </is>
      </c>
      <c r="B3" t="inlineStr">
        <is>
          <t>IT Sec</t>
        </is>
      </c>
      <c r="C3" t="inlineStr">
        <is>
          <t>28-Jul-2024</t>
        </is>
      </c>
      <c r="D3" t="inlineStr">
        <is>
          <t>Closed</t>
        </is>
      </c>
      <c r="E3" t="inlineStr">
        <is>
          <t>Green</t>
        </is>
      </c>
      <c r="F3" t="inlineStr">
        <is>
          <t>Policy</t>
        </is>
      </c>
      <c r="G3">
        <f>IF(OR(D3="Closed",TODAY()&lt;=C3),"On Track","Overdue")</f>
        <v/>
      </c>
    </row>
    <row r="4">
      <c r="A4" t="inlineStr">
        <is>
          <t>Add KRI 'External recording links detected'</t>
        </is>
      </c>
      <c r="B4" t="inlineStr">
        <is>
          <t>Risk</t>
        </is>
      </c>
      <c r="C4" t="inlineStr">
        <is>
          <t>05-Aug-2024</t>
        </is>
      </c>
      <c r="D4" t="inlineStr">
        <is>
          <t>Open</t>
        </is>
      </c>
      <c r="E4" t="inlineStr">
        <is>
          <t>Amber</t>
        </is>
      </c>
      <c r="F4" t="inlineStr">
        <is>
          <t>Monitoring</t>
        </is>
      </c>
      <c r="G4">
        <f>IF(OR(D4="Closed",TODAY()&lt;=C4),"On Track","Overdue")</f>
        <v/>
      </c>
    </row>
    <row r="5">
      <c r="A5" t="inlineStr">
        <is>
          <t>Conduct vendor revalidation audit</t>
        </is>
      </c>
      <c r="B5" t="inlineStr">
        <is>
          <t>TPRM</t>
        </is>
      </c>
      <c r="C5" t="inlineStr">
        <is>
          <t>10-Aug-2024</t>
        </is>
      </c>
      <c r="D5" t="inlineStr">
        <is>
          <t>Planned</t>
        </is>
      </c>
      <c r="E5" t="inlineStr">
        <is>
          <t>Green</t>
        </is>
      </c>
      <c r="F5" t="inlineStr">
        <is>
          <t>Vendor review</t>
        </is>
      </c>
      <c r="G5">
        <f>IF(OR(D5="Closed",TODAY()&lt;=C5),"On Track","Overdue")</f>
        <v/>
      </c>
    </row>
  </sheetData>
  <conditionalFormatting sqref="E2:E5">
    <cfRule type="expression" priority="1" dxfId="0">
      <formula>EXACT(E2,"Green")</formula>
    </cfRule>
    <cfRule type="expression" priority="2" dxfId="1">
      <formula>EXACT(E2,"Amber")</formula>
    </cfRule>
    <cfRule type="expression" priority="3" dxfId="2">
      <formula>EXACT(E2,"Red")</formula>
    </cfRule>
  </conditionalFormatting>
  <dataValidations count="2">
    <dataValidation sqref="D2:D1048576" showErrorMessage="1" showInputMessage="1" allowBlank="1" type="list">
      <formula1>"Open,In Progress,Closed,Planned"</formula1>
    </dataValidation>
    <dataValidation sqref="E2:E1048576" showErrorMessage="1" showInputMessage="1" allowBlank="1" type="list">
      <formula1>"Green,Amber,Red"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3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Marymia Ltd – Module 7: Incident Simulation &amp; Lessons Learned Workbook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Prepared by</t>
        </is>
      </c>
      <c r="B4" t="inlineStr">
        <is>
          <t>Ikuomola Adedeji – Third-Party Risk Analyst</t>
        </is>
      </c>
    </row>
    <row r="5">
      <c r="A5" t="inlineStr">
        <is>
          <t>Linked Source</t>
        </is>
      </c>
      <c r="B5" t="inlineStr">
        <is>
          <t>MarymiaLtd_Module6_ContinuousMonitoring.xlsx</t>
        </is>
      </c>
    </row>
    <row r="6">
      <c r="A6" t="inlineStr">
        <is>
          <t>Approved by</t>
        </is>
      </c>
      <c r="B6" t="inlineStr">
        <is>
          <t>Risk Committee</t>
        </is>
      </c>
    </row>
    <row r="7">
      <c r="A7" t="inlineStr">
        <is>
          <t>Date</t>
        </is>
      </c>
      <c r="B7" t="inlineStr">
        <is>
          <t>25-Jul-2024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2025-11-05T13:23:25Z</dcterms:created>
  <dcterms:modified xmlns:dcterms="http://purl.org/dc/terms/" xmlns:xsi="http://www.w3.org/2001/XMLSchema-instance" xsi:type="dcterms:W3CDTF">2025-11-05T13:23:25Z</dcterms:modified>
</cp:coreProperties>
</file>