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obby\Downloads\Third party risk management Project\"/>
    </mc:Choice>
  </mc:AlternateContent>
  <xr:revisionPtr revIDLastSave="0" documentId="13_ncr:1_{33D4ED21-5B58-44A8-B2C4-C3C8F109F46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udit Evidence Register" sheetId="1" r:id="rId1"/>
    <sheet name="Stakeholder Engagement Log" sheetId="2" r:id="rId2"/>
    <sheet name="ISO 27001 Readiness" sheetId="3" r:id="rId3"/>
    <sheet name="Management Summary" sheetId="4" r:id="rId4"/>
    <sheet name="Version Contro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5" i="2"/>
  <c r="H4" i="2"/>
  <c r="H3" i="2"/>
  <c r="H2" i="2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<sst xmlns="http://schemas.openxmlformats.org/spreadsheetml/2006/main" count="167" uniqueCount="126">
  <si>
    <t>Evidence ID</t>
  </si>
  <si>
    <t>Module</t>
  </si>
  <si>
    <t>Evidence Name</t>
  </si>
  <si>
    <t>Owner</t>
  </si>
  <si>
    <t>Version</t>
  </si>
  <si>
    <t>Control Ref</t>
  </si>
  <si>
    <t>Status</t>
  </si>
  <si>
    <t>Status RAG (Auto)</t>
  </si>
  <si>
    <t>E-TPRM-001</t>
  </si>
  <si>
    <t>Module 1</t>
  </si>
  <si>
    <t>Vendor Inventory Register</t>
  </si>
  <si>
    <t>TPRM</t>
  </si>
  <si>
    <t>1.2</t>
  </si>
  <si>
    <t>A.15.1.1</t>
  </si>
  <si>
    <t>Pending</t>
  </si>
  <si>
    <t>E-TPRM-002</t>
  </si>
  <si>
    <t>Module 2</t>
  </si>
  <si>
    <t>Vendor DDQ (Weighted Scoring)</t>
  </si>
  <si>
    <t>Compliance</t>
  </si>
  <si>
    <t>1.0</t>
  </si>
  <si>
    <t>A.15.1.2</t>
  </si>
  <si>
    <t>E-TPRM-003</t>
  </si>
  <si>
    <t>Module 3</t>
  </si>
  <si>
    <t>Risk Assessment Report</t>
  </si>
  <si>
    <t>A.15.1.3</t>
  </si>
  <si>
    <t>E-TPRM-004</t>
  </si>
  <si>
    <t>Module 4</t>
  </si>
  <si>
    <t>Risk Treatment Plan</t>
  </si>
  <si>
    <t>Risk Manager</t>
  </si>
  <si>
    <t>A.15.2.1</t>
  </si>
  <si>
    <t>Verified</t>
  </si>
  <si>
    <t>E-TPRM-005</t>
  </si>
  <si>
    <t>Contract Security Clauses Review</t>
  </si>
  <si>
    <t>Legal</t>
  </si>
  <si>
    <t>1.1</t>
  </si>
  <si>
    <t>MarymiaLtd_Contract_Clause_Review.xlsx</t>
  </si>
  <si>
    <t>E-TPRM-006</t>
  </si>
  <si>
    <t>Module 6</t>
  </si>
  <si>
    <t>Continuous Monitoring Register</t>
  </si>
  <si>
    <t>A.15.2.2</t>
  </si>
  <si>
    <t>E-TPRM-007</t>
  </si>
  <si>
    <t>Module 7</t>
  </si>
  <si>
    <t>Incident Simulation Pack</t>
  </si>
  <si>
    <t>A.16.1.5</t>
  </si>
  <si>
    <t>E-TPRM-008</t>
  </si>
  <si>
    <t>All</t>
  </si>
  <si>
    <t>Management Review Notes</t>
  </si>
  <si>
    <t>A.5.1</t>
  </si>
  <si>
    <t>Stakeholder</t>
  </si>
  <si>
    <t>Department</t>
  </si>
  <si>
    <t>Role in Audit</t>
  </si>
  <si>
    <t>Engagement Type</t>
  </si>
  <si>
    <t>Evidence Provided</t>
  </si>
  <si>
    <t>Date</t>
  </si>
  <si>
    <t>Evidence Received?</t>
  </si>
  <si>
    <t>Follow-up (Auto)</t>
  </si>
  <si>
    <t>Ikuomola Adedeji</t>
  </si>
  <si>
    <t>Audit coordinator</t>
  </si>
  <si>
    <t>Fieldwork</t>
  </si>
  <si>
    <t>All modules – registers &amp; trackers</t>
  </si>
  <si>
    <t>22-Jul-2024</t>
  </si>
  <si>
    <t>Yes</t>
  </si>
  <si>
    <t>Compliance Manager</t>
  </si>
  <si>
    <t>Policy &amp; regulatory evidence</t>
  </si>
  <si>
    <t>Interview</t>
  </si>
  <si>
    <t>DPAs, GDPR annex, Article 28 clauses</t>
  </si>
  <si>
    <t>23-Jul-2024</t>
  </si>
  <si>
    <t>IT Security Lead</t>
  </si>
  <si>
    <t>InfoSec</t>
  </si>
  <si>
    <t>Technical controls review</t>
  </si>
  <si>
    <t>Document review</t>
  </si>
  <si>
    <t>Incident reports, monitoring logs</t>
  </si>
  <si>
    <t>Vendor Account Manager</t>
  </si>
  <si>
    <t>Procurement</t>
  </si>
  <si>
    <t>Contracts &amp; SLAs</t>
  </si>
  <si>
    <t>Email</t>
  </si>
  <si>
    <t>Contracts, NDAs, addendums</t>
  </si>
  <si>
    <t>24-Jul-2024</t>
  </si>
  <si>
    <t>No</t>
  </si>
  <si>
    <t>DPO</t>
  </si>
  <si>
    <t>GDPR documentation</t>
  </si>
  <si>
    <t>ICO templates, DPIA notes</t>
  </si>
  <si>
    <t>Objective</t>
  </si>
  <si>
    <t>Evidence Reference</t>
  </si>
  <si>
    <t>Compliance Status</t>
  </si>
  <si>
    <t>Remarks</t>
  </si>
  <si>
    <t>Information security in supplier relationships</t>
  </si>
  <si>
    <t>Vendor Register, DDQ results</t>
  </si>
  <si>
    <t>✅</t>
  </si>
  <si>
    <t>Policies define supplier criteria; process in place</t>
  </si>
  <si>
    <t>Security in supplier agreements</t>
  </si>
  <si>
    <t>Incident, audit, subprocessor clauses verified</t>
  </si>
  <si>
    <t>Monitoring and review of supplier services</t>
  </si>
  <si>
    <t>⚠️</t>
  </si>
  <si>
    <t>Some Tier 3 vendors pending revalidation</t>
  </si>
  <si>
    <t>Response to information security incidents</t>
  </si>
  <si>
    <t>Full traceability to risk/treatment artifacts</t>
  </si>
  <si>
    <t>Management direction for information security</t>
  </si>
  <si>
    <t>Awaiting management signature</t>
  </si>
  <si>
    <t>Section</t>
  </si>
  <si>
    <t>Content</t>
  </si>
  <si>
    <t>Title</t>
  </si>
  <si>
    <t>Marymia Ltd – Audit Readiness Summary (July 2024)</t>
  </si>
  <si>
    <t>Prepared by</t>
  </si>
  <si>
    <t>Ikuomola Adedeji – Third-Party Risk Analyst</t>
  </si>
  <si>
    <t>Overall Rating</t>
  </si>
  <si>
    <t>SUBSTANTIALLY COMPLIANT</t>
  </si>
  <si>
    <t>Strengths</t>
  </si>
  <si>
    <t>Documented lifecycle; Weighted DDQ scoring; Incident tested; Version control and ownership</t>
  </si>
  <si>
    <t>Improvements</t>
  </si>
  <si>
    <t>Complete Tier 3 revalidation; Automate KRI updates; Obtain formal policy sign-off</t>
  </si>
  <si>
    <t>Next Steps</t>
  </si>
  <si>
    <t>Schedule management sign-off; Plan Tier 3 mini-DDQs; Add new KRIs to dashboard</t>
  </si>
  <si>
    <t>Field</t>
  </si>
  <si>
    <t>Value</t>
  </si>
  <si>
    <t>Organisation</t>
  </si>
  <si>
    <t>Marymia Ltd</t>
  </si>
  <si>
    <t>Audit Period</t>
  </si>
  <si>
    <t>July 2024</t>
  </si>
  <si>
    <t>Linked Files</t>
  </si>
  <si>
    <t>Modules 4, 6, 7 hyperlinked</t>
  </si>
  <si>
    <t>Approved by</t>
  </si>
  <si>
    <t>Internal Risk Committee</t>
  </si>
  <si>
    <t>25-Jul-2024</t>
  </si>
  <si>
    <t>MarymiaLtd_ContinuousMonitoring.xlsx</t>
  </si>
  <si>
    <t>MarymiaLtd_Incident_Pack.xlsx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</si>
</sst>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C6EFCE"/>
        <bgColor rgb="FFC6EFCE"/>
      </patternFill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9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sandbox:/mnt/data/MarymiaLtd_Module7_Incident_Pack.xlsx" TargetMode="External"/><Relationship Id="rId2" Type="http://schemas.openxmlformats.org/officeDocument/2006/relationships/hyperlink" Target="sandbox:/mnt/data/MarymiaLtd_Module6_ContinuousMonitoring.xlsx" TargetMode="External"/><Relationship Id="rId1" Type="http://schemas.openxmlformats.org/officeDocument/2006/relationships/hyperlink" Target="sandbox:/mnt/data/MarymiaLtd_Contract_Clause_Review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D30" sqref="D30"/>
    </sheetView>
  </sheetViews>
  <sheetFormatPr defaultRowHeight="15" x14ac:dyDescent="0.25"/>
  <cols>
    <col min="1" max="1" width="14" customWidth="1"/>
    <col min="2" max="2" width="12" customWidth="1"/>
    <col min="3" max="3" width="36" customWidth="1"/>
    <col min="4" max="4" width="18" customWidth="1"/>
    <col min="5" max="5" width="10" customWidth="1"/>
    <col min="6" max="7" width="12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tr">
        <f t="shared" ref="H2:H9" si="0">IF(G2="Verified","Green",IF(G2="Pending","Amber","Red"))</f>
        <v>Amber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tr">
        <f t="shared" si="0"/>
        <v>Amber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19</v>
      </c>
      <c r="F4" t="s">
        <v>24</v>
      </c>
      <c r="G4" t="s">
        <v>14</v>
      </c>
      <c r="H4" t="str">
        <f t="shared" si="0"/>
        <v>Amber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19</v>
      </c>
      <c r="F5" t="s">
        <v>29</v>
      </c>
      <c r="G5" t="s">
        <v>30</v>
      </c>
      <c r="H5" t="str">
        <f t="shared" si="0"/>
        <v>Green</v>
      </c>
    </row>
    <row r="6" spans="1:8" x14ac:dyDescent="0.25">
      <c r="A6" t="s">
        <v>31</v>
      </c>
      <c r="B6" t="s">
        <v>26</v>
      </c>
      <c r="C6" t="s">
        <v>32</v>
      </c>
      <c r="D6" t="s">
        <v>33</v>
      </c>
      <c r="E6" t="s">
        <v>34</v>
      </c>
      <c r="F6" t="s">
        <v>20</v>
      </c>
      <c r="G6" t="s">
        <v>30</v>
      </c>
      <c r="H6" t="str">
        <f t="shared" si="0"/>
        <v>Green</v>
      </c>
    </row>
    <row r="7" spans="1:8" x14ac:dyDescent="0.25">
      <c r="A7" t="s">
        <v>36</v>
      </c>
      <c r="B7" t="s">
        <v>37</v>
      </c>
      <c r="C7" t="s">
        <v>38</v>
      </c>
      <c r="D7" t="s">
        <v>11</v>
      </c>
      <c r="E7" t="s">
        <v>19</v>
      </c>
      <c r="F7" t="s">
        <v>39</v>
      </c>
      <c r="G7" t="s">
        <v>30</v>
      </c>
      <c r="H7" t="str">
        <f t="shared" si="0"/>
        <v>Green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19</v>
      </c>
      <c r="F8" t="s">
        <v>43</v>
      </c>
      <c r="G8" t="s">
        <v>30</v>
      </c>
      <c r="H8" t="str">
        <f t="shared" si="0"/>
        <v>Green</v>
      </c>
    </row>
    <row r="9" spans="1:8" x14ac:dyDescent="0.25">
      <c r="A9" t="s">
        <v>44</v>
      </c>
      <c r="B9" t="s">
        <v>45</v>
      </c>
      <c r="C9" t="s">
        <v>46</v>
      </c>
      <c r="D9" t="s">
        <v>18</v>
      </c>
      <c r="E9" t="s">
        <v>19</v>
      </c>
      <c r="F9" t="s">
        <v>47</v>
      </c>
      <c r="G9" t="s">
        <v>14</v>
      </c>
      <c r="H9" t="str">
        <f t="shared" si="0"/>
        <v>Amber</v>
      </c>
    </row>
  </sheetData>
  <conditionalFormatting sqref="H2:H9">
    <cfRule type="expression" dxfId="8" priority="1">
      <formula>EXACT(H2,"Green")</formula>
    </cfRule>
    <cfRule type="expression" dxfId="7" priority="2">
      <formula>EXACT(H2,"Amber")</formula>
    </cfRule>
    <cfRule type="expression" dxfId="6" priority="3">
      <formula>EXACT(H2,"Red")</formula>
    </cfRule>
  </conditionalFormatting>
  <dataValidations count="1">
    <dataValidation type="list" showInputMessage="1" showErrorMessage="1" sqref="G2:G9" xr:uid="{00000000-0002-0000-0000-000000000000}">
      <formula1>"Verified,Pending,Missing"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5" x14ac:dyDescent="0.25"/>
  <cols>
    <col min="1" max="1" width="22" customWidth="1"/>
    <col min="2" max="2" width="16" customWidth="1"/>
    <col min="3" max="3" width="22" customWidth="1"/>
    <col min="4" max="4" width="18" customWidth="1"/>
    <col min="5" max="5" width="40" customWidth="1"/>
    <col min="6" max="6" width="14" customWidth="1"/>
    <col min="7" max="8" width="16" customWidth="1"/>
  </cols>
  <sheetData>
    <row r="1" spans="1:8" x14ac:dyDescent="0.25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</row>
    <row r="2" spans="1:8" x14ac:dyDescent="0.25">
      <c r="A2" t="s">
        <v>56</v>
      </c>
      <c r="B2" t="s">
        <v>11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tr">
        <f>IF(G2="Yes","Complete",IF(G2="No","Follow-Up","Awaiting"))</f>
        <v>Complete</v>
      </c>
    </row>
    <row r="3" spans="1:8" x14ac:dyDescent="0.25">
      <c r="A3" t="s">
        <v>62</v>
      </c>
      <c r="B3" t="s">
        <v>33</v>
      </c>
      <c r="C3" t="s">
        <v>63</v>
      </c>
      <c r="D3" t="s">
        <v>64</v>
      </c>
      <c r="E3" t="s">
        <v>65</v>
      </c>
      <c r="F3" t="s">
        <v>66</v>
      </c>
      <c r="G3" t="s">
        <v>61</v>
      </c>
      <c r="H3" t="str">
        <f>IF(G3="Yes","Complete",IF(G3="No","Follow-Up","Awaiting"))</f>
        <v>Complete</v>
      </c>
    </row>
    <row r="4" spans="1:8" x14ac:dyDescent="0.25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66</v>
      </c>
      <c r="G4" t="s">
        <v>61</v>
      </c>
      <c r="H4" t="str">
        <f>IF(G4="Yes","Complete",IF(G4="No","Follow-Up","Awaiting"))</f>
        <v>Complete</v>
      </c>
    </row>
    <row r="5" spans="1:8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tr">
        <f>IF(G5="Yes","Complete",IF(G5="No","Follow-Up","Awaiting"))</f>
        <v>Follow-Up</v>
      </c>
    </row>
    <row r="6" spans="1:8" x14ac:dyDescent="0.25">
      <c r="A6" t="s">
        <v>79</v>
      </c>
      <c r="B6" t="s">
        <v>33</v>
      </c>
      <c r="C6" t="s">
        <v>80</v>
      </c>
      <c r="D6" t="s">
        <v>64</v>
      </c>
      <c r="E6" t="s">
        <v>81</v>
      </c>
      <c r="F6" t="s">
        <v>77</v>
      </c>
      <c r="G6" t="s">
        <v>14</v>
      </c>
      <c r="H6" t="str">
        <f>IF(G6="Yes","Complete",IF(G6="No","Follow-Up","Awaiting"))</f>
        <v>Awaiting</v>
      </c>
    </row>
  </sheetData>
  <conditionalFormatting sqref="H2:H6">
    <cfRule type="expression" dxfId="5" priority="1">
      <formula>EXACT(H2,"Complete")</formula>
    </cfRule>
    <cfRule type="expression" dxfId="4" priority="2">
      <formula>EXACT(H2,"Follow-Up")</formula>
    </cfRule>
    <cfRule type="expression" dxfId="3" priority="3">
      <formula>EXACT(H2,"Awaiting")</formula>
    </cfRule>
  </conditionalFormatting>
  <dataValidations count="2">
    <dataValidation type="list" showInputMessage="1" showErrorMessage="1" sqref="D2:D1048576" xr:uid="{00000000-0002-0000-0100-000000000000}">
      <formula1>"Interview,Email,Meeting,Document review,Fieldwork"</formula1>
    </dataValidation>
    <dataValidation type="list" showInputMessage="1" showErrorMessage="1" sqref="G2:G1048576" xr:uid="{00000000-0002-0000-0100-000001000000}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C15" sqref="C15"/>
    </sheetView>
  </sheetViews>
  <sheetFormatPr defaultRowHeight="15" x14ac:dyDescent="0.25"/>
  <cols>
    <col min="1" max="1" width="14" customWidth="1"/>
    <col min="2" max="3" width="40" customWidth="1"/>
    <col min="4" max="4" width="14" customWidth="1"/>
    <col min="5" max="5" width="48" customWidth="1"/>
  </cols>
  <sheetData>
    <row r="1" spans="1:5" x14ac:dyDescent="0.25">
      <c r="A1" s="4" t="s">
        <v>5</v>
      </c>
      <c r="B1" s="4" t="s">
        <v>82</v>
      </c>
      <c r="C1" s="4" t="s">
        <v>83</v>
      </c>
      <c r="D1" s="4" t="s">
        <v>84</v>
      </c>
      <c r="E1" s="4" t="s">
        <v>85</v>
      </c>
    </row>
    <row r="2" spans="1:5" x14ac:dyDescent="0.25">
      <c r="A2" t="s">
        <v>13</v>
      </c>
      <c r="B2" t="s">
        <v>86</v>
      </c>
      <c r="C2" t="s">
        <v>87</v>
      </c>
      <c r="D2" t="s">
        <v>88</v>
      </c>
      <c r="E2" t="s">
        <v>89</v>
      </c>
    </row>
    <row r="3" spans="1:5" ht="15.75" x14ac:dyDescent="0.25">
      <c r="A3" t="s">
        <v>20</v>
      </c>
      <c r="B3" t="s">
        <v>90</v>
      </c>
      <c r="C3" s="2" t="s">
        <v>35</v>
      </c>
      <c r="D3" t="s">
        <v>88</v>
      </c>
      <c r="E3" t="s">
        <v>91</v>
      </c>
    </row>
    <row r="4" spans="1:5" ht="15.75" x14ac:dyDescent="0.25">
      <c r="A4" t="s">
        <v>29</v>
      </c>
      <c r="B4" t="s">
        <v>92</v>
      </c>
      <c r="C4" s="2" t="s">
        <v>124</v>
      </c>
      <c r="D4" t="s">
        <v>93</v>
      </c>
      <c r="E4" t="s">
        <v>94</v>
      </c>
    </row>
    <row r="5" spans="1:5" ht="15.75" x14ac:dyDescent="0.25">
      <c r="A5" t="s">
        <v>43</v>
      </c>
      <c r="B5" t="s">
        <v>95</v>
      </c>
      <c r="C5" s="2" t="s">
        <v>125</v>
      </c>
      <c r="D5" t="s">
        <v>88</v>
      </c>
      <c r="E5" t="s">
        <v>96</v>
      </c>
    </row>
    <row r="6" spans="1:5" x14ac:dyDescent="0.25">
      <c r="A6" t="s">
        <v>47</v>
      </c>
      <c r="B6" t="s">
        <v>97</v>
      </c>
      <c r="C6" t="s">
        <v>46</v>
      </c>
      <c r="D6" t="s">
        <v>93</v>
      </c>
      <c r="E6" t="s">
        <v>98</v>
      </c>
    </row>
  </sheetData>
  <conditionalFormatting sqref="D2:D6">
    <cfRule type="expression" dxfId="2" priority="1">
      <formula>D2="✅"</formula>
    </cfRule>
    <cfRule type="expression" dxfId="1" priority="2">
      <formula>D2="⚠️"</formula>
    </cfRule>
    <cfRule type="expression" dxfId="0" priority="3">
      <formula>D2="❌"</formula>
    </cfRule>
  </conditionalFormatting>
  <hyperlinks>
    <hyperlink ref="C3" r:id="rId1" xr:uid="{00000000-0004-0000-0200-000000000000}"/>
    <hyperlink ref="C4" r:id="rId2" display="MarymiaLtd_Module6_ContinuousMonitoring.xlsx" xr:uid="{00000000-0004-0000-0200-000001000000}"/>
    <hyperlink ref="C5" r:id="rId3" display="MarymiaLtd_Module7_Incident_Pack.xlsx" xr:uid="{00000000-0004-0000-0200-000002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cols>
    <col min="1" max="1" width="26" customWidth="1"/>
    <col min="2" max="2" width="100" customWidth="1"/>
  </cols>
  <sheetData>
    <row r="1" spans="1:2" x14ac:dyDescent="0.25">
      <c r="A1" s="5" t="s">
        <v>99</v>
      </c>
      <c r="B1" t="s">
        <v>100</v>
      </c>
    </row>
    <row r="2" spans="1:2" x14ac:dyDescent="0.25">
      <c r="A2" t="s">
        <v>101</v>
      </c>
      <c r="B2" t="s">
        <v>102</v>
      </c>
    </row>
    <row r="3" spans="1:2" x14ac:dyDescent="0.25">
      <c r="A3" t="s">
        <v>103</v>
      </c>
      <c r="B3" t="s">
        <v>104</v>
      </c>
    </row>
    <row r="4" spans="1:2" x14ac:dyDescent="0.25">
      <c r="A4" t="s">
        <v>105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111</v>
      </c>
      <c r="B7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/>
  </sheetViews>
  <sheetFormatPr defaultRowHeight="15" x14ac:dyDescent="0.25"/>
  <cols>
    <col min="1" max="1" width="22" customWidth="1"/>
    <col min="2" max="2" width="80" customWidth="1"/>
  </cols>
  <sheetData>
    <row r="1" spans="1:2" x14ac:dyDescent="0.25">
      <c r="A1" s="5" t="s">
        <v>113</v>
      </c>
      <c r="B1" t="s">
        <v>114</v>
      </c>
    </row>
    <row r="2" spans="1:2" x14ac:dyDescent="0.25">
      <c r="A2" t="s">
        <v>115</v>
      </c>
      <c r="B2" t="s">
        <v>116</v>
      </c>
    </row>
    <row r="3" spans="1:2" x14ac:dyDescent="0.25">
      <c r="A3" t="s">
        <v>103</v>
      </c>
      <c r="B3" t="s">
        <v>104</v>
      </c>
    </row>
    <row r="4" spans="1:2" x14ac:dyDescent="0.25">
      <c r="A4" t="s">
        <v>117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4</v>
      </c>
      <c r="B6" t="s">
        <v>19</v>
      </c>
    </row>
    <row r="7" spans="1:2" x14ac:dyDescent="0.25">
      <c r="A7" t="s">
        <v>121</v>
      </c>
      <c r="B7" t="s">
        <v>122</v>
      </c>
    </row>
    <row r="8" spans="1:2" x14ac:dyDescent="0.25">
      <c r="A8" t="s">
        <v>53</v>
      </c>
      <c r="B8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 Evidence Register</vt:lpstr>
      <vt:lpstr>Stakeholder Engagement Log</vt:lpstr>
      <vt:lpstr>ISO 27001 Readiness</vt:lpstr>
      <vt:lpstr>Management Summary</vt:lpstr>
      <vt:lpstr>Version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ikuomola adedeji</cp:lastModifiedBy>
  <dcterms:created xsi:type="dcterms:W3CDTF">2025-11-05T14:19:03Z</dcterms:created>
  <dcterms:modified xsi:type="dcterms:W3CDTF">2025-11-05T14:38:26Z</dcterms:modified>
</cp:coreProperties>
</file>